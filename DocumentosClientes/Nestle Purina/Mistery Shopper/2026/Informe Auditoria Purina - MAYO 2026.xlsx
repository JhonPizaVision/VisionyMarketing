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heme/themeOverride1.xml" ContentType="application/vnd.openxmlformats-officedocument.themeOverrid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listos-my.sharepoint.com/personal/camilab_buitrago_visionymarketing_com_co/Documents/Desktop/Diego Guerrero/NESTLÉ/PURINA/2026/MAYO/Informe/"/>
    </mc:Choice>
  </mc:AlternateContent>
  <xr:revisionPtr revIDLastSave="17" documentId="8_{932ACF4F-E43C-4ED2-A193-5A1429ECF823}" xr6:coauthVersionLast="47" xr6:coauthVersionMax="47" xr10:uidLastSave="{B7C77DA9-7ADA-41A0-BAE1-A5D9663E1008}"/>
  <bookViews>
    <workbookView xWindow="-110" yWindow="-110" windowWidth="19420" windowHeight="11500" tabRatio="989" xr2:uid="{22547094-DDA4-4673-ADB1-0AED661F9EB6}"/>
  </bookViews>
  <sheets>
    <sheet name="INFORME" sheetId="4" r:id="rId1"/>
    <sheet name="Videos" sheetId="15" r:id="rId2"/>
    <sheet name="PUNTAJES" sheetId="5" r:id="rId3"/>
    <sheet name="Panel" sheetId="1" r:id="rId4"/>
    <sheet name="DATA INFORME" sheetId="12" r:id="rId5"/>
    <sheet name="Export" sheetId="2" r:id="rId6"/>
    <sheet name="ENCUESTA" sheetId="8" r:id="rId7"/>
  </sheets>
  <definedNames>
    <definedName name="_xlnm._FilterDatabase" localSheetId="6" hidden="1">ENCUESTA!$A$1:$H$43</definedName>
    <definedName name="_xlnm._FilterDatabase" localSheetId="3" hidden="1">Panel!#REF!</definedName>
    <definedName name="_xlnm._FilterDatabase" localSheetId="1" hidden="1">Videos!$A$1:$D$5</definedName>
    <definedName name="DatosExternos_1" localSheetId="4" hidden="1">'DATA INFORME'!$A$1:$AU$5</definedName>
    <definedName name="DatosExternos_2" localSheetId="2" hidden="1">PUNTAJES!$A$1:$K$99</definedName>
    <definedName name="SegmentaciónDeDatos_CIUDAD">#N/A</definedName>
    <definedName name="SegmentaciónDeDatos_NOMBRE_COMERCIAL">#N/A</definedName>
  </definedNames>
  <calcPr calcId="191028"/>
  <pivotCaches>
    <pivotCache cacheId="86" r:id="rId8"/>
    <pivotCache cacheId="87" r:id="rId9"/>
  </pivotCaches>
  <extLst>
    <ext xmlns:x14="http://schemas.microsoft.com/office/spreadsheetml/2009/9/main" uri="{BBE1A952-AA13-448e-AADC-164F8A28A991}">
      <x14:slicerCaches>
        <x14:slicerCache r:id="rId10"/>
        <x14:slicerCache r:id="rId11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" i="5" l="1"/>
  <c r="L3" i="5"/>
  <c r="L4" i="5"/>
  <c r="L5" i="5"/>
  <c r="L6" i="5"/>
  <c r="N6" i="5" s="1"/>
  <c r="P6" i="5" s="1"/>
  <c r="L7" i="5"/>
  <c r="L8" i="5"/>
  <c r="L9" i="5"/>
  <c r="L10" i="5"/>
  <c r="N10" i="5" s="1"/>
  <c r="L11" i="5"/>
  <c r="N11" i="5" s="1"/>
  <c r="L12" i="5"/>
  <c r="N12" i="5" s="1"/>
  <c r="L13" i="5"/>
  <c r="L14" i="5"/>
  <c r="N14" i="5" s="1"/>
  <c r="L15" i="5"/>
  <c r="N15" i="5" s="1"/>
  <c r="L16" i="5"/>
  <c r="L17" i="5"/>
  <c r="L18" i="5"/>
  <c r="L19" i="5"/>
  <c r="L20" i="5"/>
  <c r="N20" i="5" s="1"/>
  <c r="P20" i="5" s="1"/>
  <c r="L21" i="5"/>
  <c r="L22" i="5"/>
  <c r="L23" i="5"/>
  <c r="L24" i="5"/>
  <c r="N24" i="5" s="1"/>
  <c r="P24" i="5" s="1"/>
  <c r="L25" i="5"/>
  <c r="N25" i="5" s="1"/>
  <c r="P25" i="5" s="1"/>
  <c r="L26" i="5"/>
  <c r="N26" i="5" s="1"/>
  <c r="L27" i="5"/>
  <c r="N27" i="5" s="1"/>
  <c r="L28" i="5"/>
  <c r="M28" i="5" s="1"/>
  <c r="L29" i="5"/>
  <c r="N29" i="5" s="1"/>
  <c r="L30" i="5"/>
  <c r="L31" i="5"/>
  <c r="L32" i="5"/>
  <c r="L33" i="5"/>
  <c r="L34" i="5"/>
  <c r="N34" i="5" s="1"/>
  <c r="P34" i="5" s="1"/>
  <c r="L35" i="5"/>
  <c r="L36" i="5"/>
  <c r="L37" i="5"/>
  <c r="L38" i="5"/>
  <c r="N38" i="5" s="1"/>
  <c r="P38" i="5" s="1"/>
  <c r="L39" i="5"/>
  <c r="N39" i="5" s="1"/>
  <c r="P39" i="5" s="1"/>
  <c r="L40" i="5"/>
  <c r="N40" i="5" s="1"/>
  <c r="L41" i="5"/>
  <c r="N41" i="5" s="1"/>
  <c r="L42" i="5"/>
  <c r="N42" i="5" s="1"/>
  <c r="L43" i="5"/>
  <c r="N43" i="5" s="1"/>
  <c r="L44" i="5"/>
  <c r="L45" i="5"/>
  <c r="L46" i="5"/>
  <c r="L47" i="5"/>
  <c r="L48" i="5"/>
  <c r="N48" i="5" s="1"/>
  <c r="P48" i="5" s="1"/>
  <c r="L49" i="5"/>
  <c r="L50" i="5"/>
  <c r="L51" i="5"/>
  <c r="L52" i="5"/>
  <c r="N52" i="5" s="1"/>
  <c r="P52" i="5" s="1"/>
  <c r="L53" i="5"/>
  <c r="N53" i="5" s="1"/>
  <c r="L54" i="5"/>
  <c r="M54" i="5" s="1"/>
  <c r="L55" i="5"/>
  <c r="L56" i="5"/>
  <c r="N56" i="5" s="1"/>
  <c r="L57" i="5"/>
  <c r="N57" i="5" s="1"/>
  <c r="L58" i="5"/>
  <c r="L59" i="5"/>
  <c r="L60" i="5"/>
  <c r="L61" i="5"/>
  <c r="L62" i="5"/>
  <c r="N62" i="5" s="1"/>
  <c r="P62" i="5" s="1"/>
  <c r="L63" i="5"/>
  <c r="L64" i="5"/>
  <c r="L65" i="5"/>
  <c r="L66" i="5"/>
  <c r="N66" i="5" s="1"/>
  <c r="P66" i="5" s="1"/>
  <c r="L67" i="5"/>
  <c r="N67" i="5" s="1"/>
  <c r="P67" i="5" s="1"/>
  <c r="L68" i="5"/>
  <c r="M68" i="5" s="1"/>
  <c r="L69" i="5"/>
  <c r="M69" i="5" s="1"/>
  <c r="L70" i="5"/>
  <c r="M70" i="5" s="1"/>
  <c r="L71" i="5"/>
  <c r="N71" i="5" s="1"/>
  <c r="L72" i="5"/>
  <c r="L73" i="5"/>
  <c r="L74" i="5"/>
  <c r="L75" i="5"/>
  <c r="L76" i="5"/>
  <c r="N76" i="5" s="1"/>
  <c r="P76" i="5" s="1"/>
  <c r="L77" i="5"/>
  <c r="L78" i="5"/>
  <c r="L79" i="5"/>
  <c r="L80" i="5"/>
  <c r="N80" i="5" s="1"/>
  <c r="P80" i="5" s="1"/>
  <c r="L81" i="5"/>
  <c r="M81" i="5" s="1"/>
  <c r="L82" i="5"/>
  <c r="N82" i="5" s="1"/>
  <c r="L83" i="5"/>
  <c r="N83" i="5" s="1"/>
  <c r="L84" i="5"/>
  <c r="N84" i="5" s="1"/>
  <c r="L85" i="5"/>
  <c r="N85" i="5" s="1"/>
  <c r="L86" i="5"/>
  <c r="L87" i="5"/>
  <c r="L88" i="5"/>
  <c r="L89" i="5"/>
  <c r="L90" i="5"/>
  <c r="N90" i="5" s="1"/>
  <c r="P90" i="5" s="1"/>
  <c r="L91" i="5"/>
  <c r="L92" i="5"/>
  <c r="L93" i="5"/>
  <c r="L94" i="5"/>
  <c r="N94" i="5" s="1"/>
  <c r="L95" i="5"/>
  <c r="M95" i="5" s="1"/>
  <c r="L96" i="5"/>
  <c r="M96" i="5" s="1"/>
  <c r="L97" i="5"/>
  <c r="M97" i="5" s="1"/>
  <c r="L98" i="5"/>
  <c r="M98" i="5" s="1"/>
  <c r="L99" i="5"/>
  <c r="M99" i="5" s="1"/>
  <c r="M2" i="5"/>
  <c r="M3" i="5"/>
  <c r="M4" i="5"/>
  <c r="M5" i="5"/>
  <c r="M6" i="5"/>
  <c r="M7" i="5"/>
  <c r="M8" i="5"/>
  <c r="M9" i="5"/>
  <c r="M10" i="5"/>
  <c r="M11" i="5"/>
  <c r="M12" i="5"/>
  <c r="M13" i="5"/>
  <c r="M16" i="5"/>
  <c r="M17" i="5"/>
  <c r="M18" i="5"/>
  <c r="M19" i="5"/>
  <c r="M20" i="5"/>
  <c r="M21" i="5"/>
  <c r="M22" i="5"/>
  <c r="M23" i="5"/>
  <c r="M27" i="5"/>
  <c r="M30" i="5"/>
  <c r="M31" i="5"/>
  <c r="M32" i="5"/>
  <c r="M33" i="5"/>
  <c r="M35" i="5"/>
  <c r="M36" i="5"/>
  <c r="M37" i="5"/>
  <c r="M38" i="5"/>
  <c r="M41" i="5"/>
  <c r="M44" i="5"/>
  <c r="M45" i="5"/>
  <c r="M46" i="5"/>
  <c r="M47" i="5"/>
  <c r="M49" i="5"/>
  <c r="M50" i="5"/>
  <c r="M51" i="5"/>
  <c r="M55" i="5"/>
  <c r="M58" i="5"/>
  <c r="M59" i="5"/>
  <c r="M60" i="5"/>
  <c r="M61" i="5"/>
  <c r="M63" i="5"/>
  <c r="M64" i="5"/>
  <c r="M65" i="5"/>
  <c r="M66" i="5"/>
  <c r="M72" i="5"/>
  <c r="M73" i="5"/>
  <c r="M74" i="5"/>
  <c r="M75" i="5"/>
  <c r="M77" i="5"/>
  <c r="M78" i="5"/>
  <c r="M79" i="5"/>
  <c r="M82" i="5"/>
  <c r="M86" i="5"/>
  <c r="M87" i="5"/>
  <c r="M88" i="5"/>
  <c r="M89" i="5"/>
  <c r="M91" i="5"/>
  <c r="M92" i="5"/>
  <c r="M93" i="5"/>
  <c r="N2" i="5"/>
  <c r="N3" i="5"/>
  <c r="N4" i="5"/>
  <c r="N5" i="5"/>
  <c r="N7" i="5"/>
  <c r="P7" i="5" s="1"/>
  <c r="N8" i="5"/>
  <c r="P8" i="5" s="1"/>
  <c r="N9" i="5"/>
  <c r="P9" i="5" s="1"/>
  <c r="N13" i="5"/>
  <c r="N16" i="5"/>
  <c r="P16" i="5" s="1"/>
  <c r="N17" i="5"/>
  <c r="N18" i="5"/>
  <c r="P18" i="5" s="1"/>
  <c r="N19" i="5"/>
  <c r="N21" i="5"/>
  <c r="N22" i="5"/>
  <c r="N23" i="5"/>
  <c r="P23" i="5" s="1"/>
  <c r="N30" i="5"/>
  <c r="N31" i="5"/>
  <c r="N32" i="5"/>
  <c r="P32" i="5" s="1"/>
  <c r="N33" i="5"/>
  <c r="P33" i="5" s="1"/>
  <c r="N35" i="5"/>
  <c r="P35" i="5" s="1"/>
  <c r="N36" i="5"/>
  <c r="N37" i="5"/>
  <c r="P37" i="5" s="1"/>
  <c r="N44" i="5"/>
  <c r="N45" i="5"/>
  <c r="N46" i="5"/>
  <c r="N47" i="5"/>
  <c r="N49" i="5"/>
  <c r="P49" i="5" s="1"/>
  <c r="N50" i="5"/>
  <c r="N51" i="5"/>
  <c r="N54" i="5"/>
  <c r="N55" i="5"/>
  <c r="P55" i="5" s="1"/>
  <c r="N58" i="5"/>
  <c r="N59" i="5"/>
  <c r="N60" i="5"/>
  <c r="N61" i="5"/>
  <c r="N63" i="5"/>
  <c r="N64" i="5"/>
  <c r="N65" i="5"/>
  <c r="N72" i="5"/>
  <c r="N73" i="5"/>
  <c r="N74" i="5"/>
  <c r="N75" i="5"/>
  <c r="N77" i="5"/>
  <c r="P77" i="5" s="1"/>
  <c r="N78" i="5"/>
  <c r="N79" i="5"/>
  <c r="N86" i="5"/>
  <c r="N87" i="5"/>
  <c r="N88" i="5"/>
  <c r="P88" i="5" s="1"/>
  <c r="N89" i="5"/>
  <c r="N91" i="5"/>
  <c r="P91" i="5" s="1"/>
  <c r="N92" i="5"/>
  <c r="N93" i="5"/>
  <c r="O2" i="5"/>
  <c r="O3" i="5"/>
  <c r="O4" i="5"/>
  <c r="O5" i="5"/>
  <c r="O6" i="5"/>
  <c r="O7" i="5"/>
  <c r="O8" i="5"/>
  <c r="O9" i="5"/>
  <c r="O10" i="5"/>
  <c r="O11" i="5"/>
  <c r="P11" i="5" s="1"/>
  <c r="O12" i="5"/>
  <c r="O13" i="5"/>
  <c r="P13" i="5" s="1"/>
  <c r="O14" i="5"/>
  <c r="O15" i="5"/>
  <c r="O16" i="5"/>
  <c r="O17" i="5"/>
  <c r="P17" i="5" s="1"/>
  <c r="O18" i="5"/>
  <c r="O19" i="5"/>
  <c r="O20" i="5"/>
  <c r="O21" i="5"/>
  <c r="O22" i="5"/>
  <c r="O23" i="5"/>
  <c r="O24" i="5"/>
  <c r="O25" i="5"/>
  <c r="O26" i="5"/>
  <c r="O27" i="5"/>
  <c r="P27" i="5" s="1"/>
  <c r="O28" i="5"/>
  <c r="P28" i="5" s="1"/>
  <c r="O29" i="5"/>
  <c r="P29" i="5" s="1"/>
  <c r="O30" i="5"/>
  <c r="O31" i="5"/>
  <c r="P31" i="5" s="1"/>
  <c r="O32" i="5"/>
  <c r="O33" i="5"/>
  <c r="O34" i="5"/>
  <c r="O35" i="5"/>
  <c r="O36" i="5"/>
  <c r="O37" i="5"/>
  <c r="O38" i="5"/>
  <c r="O39" i="5"/>
  <c r="O40" i="5"/>
  <c r="O41" i="5"/>
  <c r="O42" i="5"/>
  <c r="O43" i="5"/>
  <c r="O44" i="5"/>
  <c r="P44" i="5" s="1"/>
  <c r="O45" i="5"/>
  <c r="P45" i="5" s="1"/>
  <c r="O46" i="5"/>
  <c r="P46" i="5" s="1"/>
  <c r="O47" i="5"/>
  <c r="O48" i="5"/>
  <c r="O49" i="5"/>
  <c r="O50" i="5"/>
  <c r="O51" i="5"/>
  <c r="O52" i="5"/>
  <c r="O53" i="5"/>
  <c r="O54" i="5"/>
  <c r="O55" i="5"/>
  <c r="O56" i="5"/>
  <c r="O57" i="5"/>
  <c r="O58" i="5"/>
  <c r="O59" i="5"/>
  <c r="P59" i="5" s="1"/>
  <c r="O60" i="5"/>
  <c r="O61" i="5"/>
  <c r="O62" i="5"/>
  <c r="O63" i="5"/>
  <c r="O64" i="5"/>
  <c r="O65" i="5"/>
  <c r="O66" i="5"/>
  <c r="O67" i="5"/>
  <c r="O68" i="5"/>
  <c r="O69" i="5"/>
  <c r="O70" i="5"/>
  <c r="O71" i="5"/>
  <c r="O72" i="5"/>
  <c r="O73" i="5"/>
  <c r="O74" i="5"/>
  <c r="P74" i="5" s="1"/>
  <c r="O75" i="5"/>
  <c r="P75" i="5" s="1"/>
  <c r="O76" i="5"/>
  <c r="O77" i="5"/>
  <c r="O78" i="5"/>
  <c r="O79" i="5"/>
  <c r="O80" i="5"/>
  <c r="O81" i="5"/>
  <c r="O82" i="5"/>
  <c r="O83" i="5"/>
  <c r="O84" i="5"/>
  <c r="O85" i="5"/>
  <c r="O86" i="5"/>
  <c r="O87" i="5"/>
  <c r="P87" i="5" s="1"/>
  <c r="O88" i="5"/>
  <c r="O89" i="5"/>
  <c r="O90" i="5"/>
  <c r="O91" i="5"/>
  <c r="O92" i="5"/>
  <c r="P92" i="5" s="1"/>
  <c r="O93" i="5"/>
  <c r="P93" i="5" s="1"/>
  <c r="O94" i="5"/>
  <c r="O95" i="5"/>
  <c r="O96" i="5"/>
  <c r="O97" i="5"/>
  <c r="O98" i="5"/>
  <c r="O99" i="5"/>
  <c r="P99" i="5" s="1"/>
  <c r="P2" i="5"/>
  <c r="P3" i="5"/>
  <c r="P4" i="5"/>
  <c r="P5" i="5"/>
  <c r="P10" i="5"/>
  <c r="P19" i="5"/>
  <c r="P21" i="5"/>
  <c r="P36" i="5"/>
  <c r="P47" i="5"/>
  <c r="P60" i="5"/>
  <c r="P61" i="5"/>
  <c r="P65" i="5"/>
  <c r="P72" i="5"/>
  <c r="P86" i="5"/>
  <c r="P89" i="5"/>
  <c r="P94" i="5"/>
  <c r="Q2" i="5"/>
  <c r="Q3" i="5"/>
  <c r="Q4" i="5"/>
  <c r="Q5" i="5"/>
  <c r="Q6" i="5"/>
  <c r="Q7" i="5"/>
  <c r="Q8" i="5"/>
  <c r="Q9" i="5"/>
  <c r="Q10" i="5"/>
  <c r="Q11" i="5"/>
  <c r="Q12" i="5"/>
  <c r="Q13" i="5"/>
  <c r="Q14" i="5"/>
  <c r="Q15" i="5"/>
  <c r="Q16" i="5"/>
  <c r="Q17" i="5"/>
  <c r="Q18" i="5"/>
  <c r="Q19" i="5"/>
  <c r="Q20" i="5"/>
  <c r="Q21" i="5"/>
  <c r="Q22" i="5"/>
  <c r="Q23" i="5"/>
  <c r="Q24" i="5"/>
  <c r="Q25" i="5"/>
  <c r="Q26" i="5"/>
  <c r="Q27" i="5"/>
  <c r="Q28" i="5"/>
  <c r="Q29" i="5"/>
  <c r="Q30" i="5"/>
  <c r="Q31" i="5"/>
  <c r="Q32" i="5"/>
  <c r="Q33" i="5"/>
  <c r="Q34" i="5"/>
  <c r="Q35" i="5"/>
  <c r="Q36" i="5"/>
  <c r="Q37" i="5"/>
  <c r="Q38" i="5"/>
  <c r="Q39" i="5"/>
  <c r="Q40" i="5"/>
  <c r="Q41" i="5"/>
  <c r="Q42" i="5"/>
  <c r="Q43" i="5"/>
  <c r="Q44" i="5"/>
  <c r="Q45" i="5"/>
  <c r="Q46" i="5"/>
  <c r="Q47" i="5"/>
  <c r="Q48" i="5"/>
  <c r="Q49" i="5"/>
  <c r="Q50" i="5"/>
  <c r="Q51" i="5"/>
  <c r="Q52" i="5"/>
  <c r="Q53" i="5"/>
  <c r="Q54" i="5"/>
  <c r="Q55" i="5"/>
  <c r="Q56" i="5"/>
  <c r="Q57" i="5"/>
  <c r="Q58" i="5"/>
  <c r="Q59" i="5"/>
  <c r="Q60" i="5"/>
  <c r="Q61" i="5"/>
  <c r="Q62" i="5"/>
  <c r="Q63" i="5"/>
  <c r="Q64" i="5"/>
  <c r="Q65" i="5"/>
  <c r="Q66" i="5"/>
  <c r="Q67" i="5"/>
  <c r="Q68" i="5"/>
  <c r="Q69" i="5"/>
  <c r="Q70" i="5"/>
  <c r="Q71" i="5"/>
  <c r="Q72" i="5"/>
  <c r="Q73" i="5"/>
  <c r="Q74" i="5"/>
  <c r="Q75" i="5"/>
  <c r="Q76" i="5"/>
  <c r="Q77" i="5"/>
  <c r="Q78" i="5"/>
  <c r="Q79" i="5"/>
  <c r="Q80" i="5"/>
  <c r="Q81" i="5"/>
  <c r="Q82" i="5"/>
  <c r="Q83" i="5"/>
  <c r="Q84" i="5"/>
  <c r="Q85" i="5"/>
  <c r="Q86" i="5"/>
  <c r="Q87" i="5"/>
  <c r="Q88" i="5"/>
  <c r="Q89" i="5"/>
  <c r="Q90" i="5"/>
  <c r="Q91" i="5"/>
  <c r="Q92" i="5"/>
  <c r="Q93" i="5"/>
  <c r="Q94" i="5"/>
  <c r="Q95" i="5"/>
  <c r="Q96" i="5"/>
  <c r="Q97" i="5"/>
  <c r="Q98" i="5"/>
  <c r="Q99" i="5"/>
  <c r="G6" i="1"/>
  <c r="H6" i="1"/>
  <c r="I6" i="1"/>
  <c r="A2" i="1"/>
  <c r="B23" i="8"/>
  <c r="B24" i="8"/>
  <c r="B22" i="8"/>
  <c r="A21" i="8"/>
  <c r="A20" i="8"/>
  <c r="A41" i="8"/>
  <c r="A40" i="8"/>
  <c r="A39" i="8"/>
  <c r="A38" i="8"/>
  <c r="A37" i="8"/>
  <c r="B32" i="8"/>
  <c r="B33" i="8"/>
  <c r="B34" i="8"/>
  <c r="B35" i="8"/>
  <c r="B36" i="8"/>
  <c r="B31" i="8"/>
  <c r="C30" i="8"/>
  <c r="C29" i="8"/>
  <c r="C27" i="8"/>
  <c r="C26" i="8"/>
  <c r="M29" i="5" l="1"/>
  <c r="M26" i="5"/>
  <c r="M15" i="5"/>
  <c r="N96" i="5"/>
  <c r="M57" i="5"/>
  <c r="M40" i="5"/>
  <c r="M25" i="5"/>
  <c r="N69" i="5"/>
  <c r="M39" i="5"/>
  <c r="M24" i="5"/>
  <c r="P96" i="5"/>
  <c r="P82" i="5"/>
  <c r="P68" i="5"/>
  <c r="P54" i="5"/>
  <c r="P40" i="5"/>
  <c r="P26" i="5"/>
  <c r="P12" i="5"/>
  <c r="N68" i="5"/>
  <c r="M53" i="5"/>
  <c r="M67" i="5"/>
  <c r="M52" i="5"/>
  <c r="P78" i="5"/>
  <c r="P64" i="5"/>
  <c r="P50" i="5"/>
  <c r="M34" i="5"/>
  <c r="P58" i="5"/>
  <c r="M43" i="5"/>
  <c r="M48" i="5"/>
  <c r="M62" i="5"/>
  <c r="M42" i="5"/>
  <c r="M14" i="5"/>
  <c r="P79" i="5"/>
  <c r="P51" i="5"/>
  <c r="N70" i="5"/>
  <c r="M56" i="5"/>
  <c r="P63" i="5"/>
  <c r="N28" i="5"/>
  <c r="M84" i="5"/>
  <c r="M83" i="5"/>
  <c r="P22" i="5"/>
  <c r="P30" i="5"/>
  <c r="N98" i="5"/>
  <c r="P98" i="5" s="1"/>
  <c r="P84" i="5"/>
  <c r="P70" i="5"/>
  <c r="P56" i="5"/>
  <c r="P42" i="5"/>
  <c r="P14" i="5"/>
  <c r="N97" i="5"/>
  <c r="P97" i="5" s="1"/>
  <c r="P73" i="5"/>
  <c r="P83" i="5"/>
  <c r="P69" i="5"/>
  <c r="P41" i="5"/>
  <c r="M85" i="5"/>
  <c r="M71" i="5"/>
  <c r="P85" i="5"/>
  <c r="P71" i="5"/>
  <c r="P57" i="5"/>
  <c r="P43" i="5"/>
  <c r="P15" i="5"/>
  <c r="N99" i="5"/>
  <c r="P53" i="5"/>
  <c r="N95" i="5"/>
  <c r="P95" i="5" s="1"/>
  <c r="N81" i="5"/>
  <c r="P81" i="5" s="1"/>
  <c r="M94" i="5"/>
  <c r="M80" i="5"/>
  <c r="M90" i="5"/>
  <c r="M76" i="5"/>
  <c r="E41" i="8"/>
  <c r="E40" i="8"/>
  <c r="E36" i="8"/>
  <c r="E35" i="8" l="1"/>
  <c r="E30" i="8"/>
  <c r="E29" i="8"/>
  <c r="E27" i="8"/>
  <c r="E26" i="8"/>
  <c r="C18" i="8"/>
  <c r="B18" i="8"/>
  <c r="A18" i="8"/>
  <c r="C17" i="8"/>
  <c r="B17" i="8"/>
  <c r="A17" i="8"/>
  <c r="C16" i="8"/>
  <c r="B16" i="8"/>
  <c r="A16" i="8"/>
  <c r="C15" i="8"/>
  <c r="B15" i="8"/>
  <c r="A15" i="8"/>
  <c r="C14" i="8"/>
  <c r="B14" i="8"/>
  <c r="A14" i="8"/>
  <c r="E15" i="8"/>
  <c r="E16" i="8"/>
  <c r="E17" i="8"/>
  <c r="E18" i="8"/>
  <c r="E19" i="8"/>
  <c r="E20" i="8"/>
  <c r="E21" i="8"/>
  <c r="E22" i="8"/>
  <c r="E23" i="8"/>
  <c r="E24" i="8"/>
  <c r="E14" i="8"/>
  <c r="E39" i="8" l="1"/>
  <c r="E38" i="8"/>
  <c r="E37" i="8"/>
  <c r="E34" i="8"/>
  <c r="E33" i="8"/>
  <c r="E32" i="8"/>
  <c r="E31" i="8"/>
  <c r="G2" i="1"/>
  <c r="H2" i="1"/>
  <c r="I2" i="1"/>
  <c r="E13" i="1" l="1"/>
  <c r="C13" i="8" l="1"/>
  <c r="B13" i="8"/>
  <c r="A13" i="8"/>
  <c r="C12" i="8"/>
  <c r="B12" i="8"/>
  <c r="A12" i="8"/>
  <c r="C11" i="8"/>
  <c r="B11" i="8"/>
  <c r="A11" i="8"/>
  <c r="C10" i="8"/>
  <c r="B10" i="8"/>
  <c r="A10" i="8"/>
  <c r="C9" i="8"/>
  <c r="B9" i="8"/>
  <c r="A9" i="8"/>
  <c r="C8" i="8"/>
  <c r="B8" i="8"/>
  <c r="A8" i="8"/>
  <c r="C7" i="8"/>
  <c r="B7" i="8"/>
  <c r="A7" i="8"/>
  <c r="C6" i="8"/>
  <c r="B6" i="8"/>
  <c r="A6" i="8"/>
  <c r="C5" i="8"/>
  <c r="B5" i="8"/>
  <c r="A5" i="8"/>
  <c r="C4" i="8"/>
  <c r="B4" i="8"/>
  <c r="A4" i="8"/>
  <c r="A3" i="1" l="1"/>
  <c r="A5" i="1"/>
  <c r="A4" i="1"/>
  <c r="E13" i="8"/>
  <c r="E12" i="8"/>
  <c r="E11" i="8"/>
  <c r="E10" i="8"/>
  <c r="E9" i="8"/>
  <c r="E8" i="8"/>
  <c r="E7" i="8"/>
  <c r="E6" i="8"/>
  <c r="E5" i="8"/>
  <c r="E4" i="8"/>
  <c r="H5" i="1" l="1"/>
  <c r="H4" i="1"/>
  <c r="H3" i="1"/>
  <c r="G3" i="1"/>
  <c r="I5" i="1"/>
  <c r="I4" i="1"/>
  <c r="G4" i="1"/>
  <c r="I3" i="1" l="1"/>
  <c r="G5" i="1"/>
  <c r="K6" i="8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F8FD3B2-8356-441F-947B-6941990BB748}" keepAlive="1" name="Consulta - Errores en Tabla2 (2)" description="Conexión a la consulta 'Errores en Tabla2 (2)' en el libro." type="5" refreshedVersion="0" background="1">
    <dbPr connection="Provider=Microsoft.Mashup.OleDb.1;Data Source=$Workbook$;Location=&quot;Errores en Tabla2 (2)&quot;;Extended Properties=&quot;&quot;" command="SELECT * FROM [Errores en Tabla2 (2)]"/>
  </connection>
  <connection id="2" xr16:uid="{71BDF42B-3F4E-4244-9118-E9B987176825}" keepAlive="1" name="Consulta - Tabla2 (2)" description="Conexión a la consulta 'Tabla2 (2)' en el libro." type="5" refreshedVersion="8" background="1" saveData="1">
    <dbPr connection="Provider=Microsoft.Mashup.OleDb.1;Data Source=$Workbook$;Location=&quot;Tabla2 (2)&quot;;Extended Properties=&quot;&quot;" command="SELECT * FROM [Tabla2 (2)]"/>
  </connection>
  <connection id="3" xr16:uid="{1547C4EA-4CA0-48B9-8457-0A1BCB87B976}" keepAlive="1" name="Consulta - Tabla2 (3)" description="Conexión a la consulta 'Tabla2 (3)' en el libro." type="5" refreshedVersion="8" background="1" saveData="1">
    <dbPr connection="Provider=Microsoft.Mashup.OleDb.1;Data Source=$Workbook$;Location=&quot;Tabla2 (3)&quot;;Extended Properties=&quot;&quot;" command="SELECT * FROM [Tabla2 (3)]"/>
  </connection>
</connections>
</file>

<file path=xl/sharedStrings.xml><?xml version="1.0" encoding="utf-8"?>
<sst xmlns="http://schemas.openxmlformats.org/spreadsheetml/2006/main" count="3877" uniqueCount="266">
  <si>
    <t>EJECUCION DEL PLAN</t>
  </si>
  <si>
    <t>CIUDAD</t>
  </si>
  <si>
    <t>#PDV Obj.</t>
  </si>
  <si>
    <t>#PDV Eje.</t>
  </si>
  <si>
    <t>.% Ejecucion</t>
  </si>
  <si>
    <t>Obj Mystery</t>
  </si>
  <si>
    <t>Mystery Eje.</t>
  </si>
  <si>
    <t>% Efectividad.</t>
  </si>
  <si>
    <t>BOGOTA</t>
  </si>
  <si>
    <t>Total general</t>
  </si>
  <si>
    <t>MYSTERY POR CLUSTER</t>
  </si>
  <si>
    <t>Suma de % MYSTERY</t>
  </si>
  <si>
    <t>Etiquetas de columna</t>
  </si>
  <si>
    <t>CLUSTER</t>
  </si>
  <si>
    <t>ESPECIALIZADO</t>
  </si>
  <si>
    <t>MODERNO</t>
  </si>
  <si>
    <t>% MYSTERY</t>
  </si>
  <si>
    <t>HORARIO</t>
  </si>
  <si>
    <t>MYSTERY POR CLUSTER - CIUDAD</t>
  </si>
  <si>
    <t>MYSTERY EFECTIVO</t>
  </si>
  <si>
    <t>SI</t>
  </si>
  <si>
    <t>MYSTERY POR PDV</t>
  </si>
  <si>
    <t>CANAL</t>
  </si>
  <si>
    <t>NOMBRE COMERCIAL</t>
  </si>
  <si>
    <t>ACTIVIDAD</t>
  </si>
  <si>
    <t>CADENA</t>
  </si>
  <si>
    <t>CODIGO PDV</t>
  </si>
  <si>
    <t>PREGUNTA</t>
  </si>
  <si>
    <t>RTA</t>
  </si>
  <si>
    <t>FECHA VISITA</t>
  </si>
  <si>
    <t>CODIGO RUTA</t>
  </si>
  <si>
    <t>USUARIO</t>
  </si>
  <si>
    <t>TOTAL PUNTAJE</t>
  </si>
  <si>
    <t>RTA CORRECTA</t>
  </si>
  <si>
    <t>PUNTAJE OBTENIDO</t>
  </si>
  <si>
    <t>CUENTA CON CALZADO DE ACUERDO AL UNIFORME</t>
  </si>
  <si>
    <t>VUM</t>
  </si>
  <si>
    <t>NOMBRE PDV</t>
  </si>
  <si>
    <t>Objetivo Mystery</t>
  </si>
  <si>
    <t>#PDV Objetivos</t>
  </si>
  <si>
    <t>#PDV Ejecutados</t>
  </si>
  <si>
    <t># Visitas</t>
  </si>
  <si>
    <t>Mystery Ejecutado</t>
  </si>
  <si>
    <t>TRADICIONAL</t>
  </si>
  <si>
    <t>NOVEDAD</t>
  </si>
  <si>
    <t>REGIONAL</t>
  </si>
  <si>
    <t>SUBCADENA</t>
  </si>
  <si>
    <t>ZONA</t>
  </si>
  <si>
    <t>RV</t>
  </si>
  <si>
    <t>CODIGO EAN</t>
  </si>
  <si>
    <t>TIPO PUNTO VENTA</t>
  </si>
  <si>
    <t>CONSECUTIVO ENCUESTA</t>
  </si>
  <si>
    <t>NOMBRE ENCUESTA</t>
  </si>
  <si>
    <t>RESPUESTA</t>
  </si>
  <si>
    <t>CODIGO FOTO</t>
  </si>
  <si>
    <t>OBSERVACION</t>
  </si>
  <si>
    <t>FECHA INICIO VISITA</t>
  </si>
  <si>
    <t>FECHA CREACIÓN RESPUESTA</t>
  </si>
  <si>
    <t>CLIENTE</t>
  </si>
  <si>
    <t>CODIGO EXHIBICION</t>
  </si>
  <si>
    <t>NOMBRE EXHIBICION</t>
  </si>
  <si>
    <t>NOMBRE USUARIO</t>
  </si>
  <si>
    <t xml:space="preserve">NOMBRE SUPERVISOR </t>
  </si>
  <si>
    <t>USUARIO SUPERVISOR</t>
  </si>
  <si>
    <t/>
  </si>
  <si>
    <t>PRODUCTIVIDAD</t>
  </si>
  <si>
    <t>CAMILO MONTAÑO RESTREPO</t>
  </si>
  <si>
    <t>camilo.montano</t>
  </si>
  <si>
    <t>N/A</t>
  </si>
  <si>
    <t>CENTRO</t>
  </si>
  <si>
    <t>PESO</t>
  </si>
  <si>
    <t>TIPO</t>
  </si>
  <si>
    <t>UNICA</t>
  </si>
  <si>
    <t>TOTAL GENERAL</t>
  </si>
  <si>
    <t>PESO CLUSTER</t>
  </si>
  <si>
    <t>Columna1</t>
  </si>
  <si>
    <t>SI(O(G17="Dog Chow";G17="Cat Chow";G17="Alpo";G17="Gatsy";G17="Feliz");N17;0)</t>
  </si>
  <si>
    <t>SI(O(G29="Dog Chow húmedo";G29="Cat Chow húmedo";G29="Fancy Feast";G29="Felix";G29="Proplan húmedo";G29="One húmedo";G29="Snack Abrazzos";G29="Snak Dentalife";G29="Arenilla Tidy Cat");N29;0)</t>
  </si>
  <si>
    <t>1</t>
  </si>
  <si>
    <t>ABIERTA</t>
  </si>
  <si>
    <t>VIDEO 1</t>
  </si>
  <si>
    <t>VIDEO 2</t>
  </si>
  <si>
    <t>VIDEO 3</t>
  </si>
  <si>
    <t>-</t>
  </si>
  <si>
    <t>Columna2</t>
  </si>
  <si>
    <t>VIDEO 4</t>
  </si>
  <si>
    <t>VIDEO 5</t>
  </si>
  <si>
    <t>SE LOGRA REALIZAR LA AUDITORIA?</t>
  </si>
  <si>
    <t>¿CUMPLE HORARIO DE ENTRADA O SALIDA DE LA TIENDA?</t>
  </si>
  <si>
    <t>CUENTA CON PANTALON DEL UNIFORME SEGÚN EL CARGO (NEGRO / ROJO / TURQUESA / JEAN)</t>
  </si>
  <si>
    <t>CUENTA CON CAMISA DEL UNIFORME Y LOGOS SEGÚN EL CARGO (NEGRA / GRIS / ROJA / TURQUESA) (ES PERMITIDO USAR DEBAJO DE LA CAMISA BUSO MANGA LARGA NEGRO)</t>
  </si>
  <si>
    <t>POSEE ALGUNA PRENDA ENCIMA DEL UNIFORME NO AUTORIZADA POR LA MARCA (UNICAMENTE ESTA PERMITIDO CHALECO DE SODIMAC Y EASY)</t>
  </si>
  <si>
    <t>EL UNIFORME Y ZAPATOS SE ENCUENTRAN LIMPIOS Y EN BUEN ESTADO</t>
  </si>
  <si>
    <t>SU CABELLO LUCE LIMPIO, ORGANIZADO O RECOGIDO</t>
  </si>
  <si>
    <t>PRESENTA EXCESO DE MAQUILLAJE QUE NO CUMPLE CON EL CODIGO DE VESTIMENTA</t>
  </si>
  <si>
    <t>TIENE TATUAJES O PIERCINGS VISIBLES QUE NO CUMPLE CON EL CODIGO DE VESTIMENTA</t>
  </si>
  <si>
    <t>TIENE UÑAS LLAMATIVAS Y/O LARGAS QUE NO CUMPLE CON EL CODIGO DE VESTIMENTA</t>
  </si>
  <si>
    <t>USA ACCESORIOS QUE NO CUMPLE CON EL CODIGO DE VESTIMENTA</t>
  </si>
  <si>
    <t>LOS PRODUCTOS ESTAN SURTIDOS DE ACUERDO A PEPS O FIFO (REVISAR TANTO PRODUCTO SECO COMO HUMEDO)</t>
  </si>
  <si>
    <t>CONOCE LOS INFALTABLES DEL PUNTO DE VENTA Y CUENTA CON EL MATERIAL DE APOYO (AYUDAVENTAS INFALTABLES)</t>
  </si>
  <si>
    <t>CONOCE Y TIENE SURTIDO DE ACUERDO A LA ESTRATEGIA DE EXHIBICIÓN (ETAPAS DE VIDA - SEGMENTACIÓN DE MARCAS)</t>
  </si>
  <si>
    <t>SELECCIONE EL CANAL DEL PDV AUDITADO?</t>
  </si>
  <si>
    <t>DESEA AÑADIR ALGUNA OBSERVACION / NOVEDAD CON LA AUDITORIA REALIZADA?</t>
  </si>
  <si>
    <t>INDIQUE OBSERVACIÓN/NOVEDAD</t>
  </si>
  <si>
    <t>PRESENTACIÓN PERSONAL</t>
  </si>
  <si>
    <t>EJECUCION DEL PDV</t>
  </si>
  <si>
    <t>ACTIVIDADES DEL MES</t>
  </si>
  <si>
    <t>EJECUCIÓN DEL PDV</t>
  </si>
  <si>
    <t>NESTLE PURINA</t>
  </si>
  <si>
    <t>0</t>
  </si>
  <si>
    <t>PACIFICO</t>
  </si>
  <si>
    <t>CALI</t>
  </si>
  <si>
    <t>(Todas)</t>
  </si>
  <si>
    <t>CM - TIENE IMPLEMENTADO EL MATERIAL POP CORRECPONDIENTE A LAS PROMOCIONES QUE APLICAN EN EL PDV?</t>
  </si>
  <si>
    <t>CM - TIENE IMPLEMENTADAS LAS EXHIBICIONES NEGOCIADAS EN EL PDV?</t>
  </si>
  <si>
    <t>CE - SE ENCUENTRA EN EL LINEAL LAS REFERENCIAS 1,5 EN PU Y ADU DE LA MARCA EXCELLENT?</t>
  </si>
  <si>
    <t>CE - SE ENCUENTRA LA NUEVA REFERENCIA DE EXCELLENT ESTIRILIZADO DE 1K?</t>
  </si>
  <si>
    <t>COSTA</t>
  </si>
  <si>
    <t>STO 039 CHIQUINQUIRA</t>
  </si>
  <si>
    <t xml:space="preserve">User 5 </t>
  </si>
  <si>
    <t>NestleP.5</t>
  </si>
  <si>
    <t>CONOCE EL % DE PARTICIPACIÓN QUE TIENE EN EL PUNTO DE VENTA E INFORMA CUAL ES ESE % (REALIZAR EL EJERCICIO DE CONTAR LAS CARAS PARA VALIDAR SI ES CORRECTO)</t>
  </si>
  <si>
    <t>MANEJA MARCA DE PERROS, GATOS O AMBOS, Y HAY PRESENCIA DE LA COMPETENCIA? (EN EL VIDEO DEBE QUEDAR LA VISUAL DE LAS MARCAS DE LA COMPETENCIA PRESENTES EN EL PDV)</t>
  </si>
  <si>
    <t>CE - SE ENCUENTRA LA REFERENCIA PRO PLAN WET DE SALMON Y/URINARIO</t>
  </si>
  <si>
    <t>CT - CONOCE EL PRECIO DE LA PAQUETERIA (DOG CHOW 350G / 475G; CAT CHOW 200G? (Si el mercaderista informa que el PDV no lo permite implementar quedaria como N/A)</t>
  </si>
  <si>
    <t>EL LINEAL SE ENCUENTRA LIMPIO Y ORGANIZADO (EVIDENCIA POLVO O TIERRA EN EL PRODUCTO Y/O LINEAL)</t>
  </si>
  <si>
    <t>LOS PRODUCTOS TIENEN EL PRECIO Y ESTAN ACORDE O CORRESPONDIENTE A CADA REFERENCIA (REVISAR LA FECHA DE IMPRESIÓN DEL PRECIO)</t>
  </si>
  <si>
    <t>CM - TIENE ACTIVIDADES DE PLAN PEGA EN EL PDV?</t>
  </si>
  <si>
    <t>CM - DESCRIBA CUALES ACTIVIDADES DE PLAN PEGA TIENE EL PDV</t>
  </si>
  <si>
    <t xml:space="preserve">User 1 </t>
  </si>
  <si>
    <t>NestleP.1</t>
  </si>
  <si>
    <t>SUPERMERCADOS INDEPENDIENTES</t>
  </si>
  <si>
    <t>ADRIANA PAREDES</t>
  </si>
  <si>
    <t>PREMISEUNP 51</t>
  </si>
  <si>
    <t>JUAN CAMILO FIGUEROA</t>
  </si>
  <si>
    <t>JUAN.FIGUEROA</t>
  </si>
  <si>
    <t>CT - CONOCE LAS INNOVACIONES  ALTA PROTEINA? ESTÁ DISPONIBLE EN PDV?</t>
  </si>
  <si>
    <t>CT - CONOCE LAS INNOVACIONES - RISTRAS WET? ESTA DISPONIBLE EN PDV?</t>
  </si>
  <si>
    <t>CE - SE ENCUENTRAN LAS INNOVACIONES (RENOVACIÓN DE POCUHES PRO PLAN, "FANCY 15 MARZO" FELIX TRIPLE DELICIUS Y MEGAMIX, DOG CHOW POUCHES DE ALTA PROTEINA Y MULTIPROTEINA)</t>
  </si>
  <si>
    <t>cm - tiene implementado el material pop correcpondiente a las promociones que aplican en el pdv?</t>
  </si>
  <si>
    <t>cm - tiene actividades de plan pega en el pdv?</t>
  </si>
  <si>
    <t>cm - describa cuales actividades de plan pega tiene el pdv</t>
  </si>
  <si>
    <t>cm - tiene codificadas las dos nuevas referencias feliz multiproteina y cuenta con el pop correspondiente?</t>
  </si>
  <si>
    <t>cm - tiene implementadas las exhibiciones negociadas en el pdv?</t>
  </si>
  <si>
    <t>ce - se encuentran las innovaciones (renovación de pocuhes pro plan, "fancy 15 marzo" felix triple delicius y megamix, dog chow pouches de alta proteina y multiproteina)</t>
  </si>
  <si>
    <t>ce - se encuentra en el lineal las referencias 1,5 en pu y adu de la marca excellent?</t>
  </si>
  <si>
    <t>ce - se encuentra la nueva referencia de excellent estirilizado de 1k?</t>
  </si>
  <si>
    <t>ce - se encuentra la referencia pro plan wet de salmon y/urinario</t>
  </si>
  <si>
    <t>ce - el pdv maneja categoria de snacks? (en el video debe quedar la visual de las marcas de purina presentes en el pdv)</t>
  </si>
  <si>
    <t>ct - conoce el precio de la paqueteria (dog chow 350g / 475g; cat chow 200g? (si el mercaderista informa que el pdv no lo permite implementar quedaria como n/a)</t>
  </si>
  <si>
    <t>ct - conoce las innovaciones  alta proteina? está disponible en pdv?</t>
  </si>
  <si>
    <t>ct - conoce las innovaciones - ristras wet? esta disponible en pdv?</t>
  </si>
  <si>
    <t>CM - TIENE MATERIAL PRMO COOPORATIVA</t>
  </si>
  <si>
    <t>127058</t>
  </si>
  <si>
    <t>AHORRAMAS PASOANCHO</t>
  </si>
  <si>
    <t>AUDITORIA MAYO 2026</t>
  </si>
  <si>
    <t>21/05/2026 13:43:07</t>
  </si>
  <si>
    <t>21/05/2026 13:43:22</t>
  </si>
  <si>
    <t>21/05/2026 13:43:44</t>
  </si>
  <si>
    <t>31364497</t>
  </si>
  <si>
    <t>21/05/2026 13:43:49</t>
  </si>
  <si>
    <t>21/05/2026 13:43:54</t>
  </si>
  <si>
    <t>21/05/2026 13:43:57</t>
  </si>
  <si>
    <t>21/05/2026 13:44:00</t>
  </si>
  <si>
    <t xml:space="preserve"> NO</t>
  </si>
  <si>
    <t>21/05/2026 13:44:04</t>
  </si>
  <si>
    <t>21/05/2026 13:44:08</t>
  </si>
  <si>
    <t>21/05/2026 13:44:12</t>
  </si>
  <si>
    <t>21/05/2026 13:44:17</t>
  </si>
  <si>
    <t>21/05/2026 13:44:34</t>
  </si>
  <si>
    <t>21/05/2026 13:44:40</t>
  </si>
  <si>
    <t>21/05/2026 13:44:45</t>
  </si>
  <si>
    <t>21/05/2026 13:44:52</t>
  </si>
  <si>
    <t>21/05/2026 13:44:59</t>
  </si>
  <si>
    <t>21/05/2026 13:45:03</t>
  </si>
  <si>
    <t>21/05/2026 13:45:07</t>
  </si>
  <si>
    <t>21/05/2026 13:45:12</t>
  </si>
  <si>
    <t>21/05/2026 13:45:16</t>
  </si>
  <si>
    <t>CONOCE LOS INFALTABLES DE PRO PLAN (GATOS Y PERROS) ALIMENTO SECO</t>
  </si>
  <si>
    <t>21/05/2026 13:45:23</t>
  </si>
  <si>
    <t>EL PDV CUENTA CON EXHIBICIONES ADICIONALES? (REVISAR Y QUE SE VEA EN EL VIDEO)</t>
  </si>
  <si>
    <t>21/05/2026 13:45:35</t>
  </si>
  <si>
    <t>LOS PRECIOS ESTAN EN LINEA CON LOS SUGERIDOS DEL CANAL? (REVISAR Y QUE SE VEA EN EL VIDEO)</t>
  </si>
  <si>
    <t>21/05/2026 13:45:47</t>
  </si>
  <si>
    <t>21/05/2026 13:45:56</t>
  </si>
  <si>
    <t>CONOCE EL % DE PARTICIPACIÓN QUE TIENEN LAS MARCAS PURINA DENTRO DEL UNIVERSO?</t>
  </si>
  <si>
    <t>21/05/2026 13:46:01</t>
  </si>
  <si>
    <t xml:space="preserve"> TRADICIONAL</t>
  </si>
  <si>
    <t>21/05/2026 13:46:20</t>
  </si>
  <si>
    <t>21/05/2026 13:46:34</t>
  </si>
  <si>
    <t>21/05/2026 13:46:49</t>
  </si>
  <si>
    <t>21/05/2026 13:46:56</t>
  </si>
  <si>
    <t>CT - CONOCE LAS INNOVACIONES - NUTRICION REFORZADA DE WET? ESTA DISPONIBLE EN PDV?</t>
  </si>
  <si>
    <t>21/05/2026 13:47:08</t>
  </si>
  <si>
    <t>CT - LOS PRECIOS DE LAS REFERENCIAS DOG CHOW ESTAN ALINEADOS A LA NUEVA ESTRATEGIA?</t>
  </si>
  <si>
    <t>21/05/2026 13:47:19</t>
  </si>
  <si>
    <t>21/05/2026 13:47:22</t>
  </si>
  <si>
    <t>ninguna</t>
  </si>
  <si>
    <t>21/05/2026 13:47:39</t>
  </si>
  <si>
    <t>PEREIRA</t>
  </si>
  <si>
    <t>555967</t>
  </si>
  <si>
    <t>LAIKA USAQUEN</t>
  </si>
  <si>
    <t>SUPER IND</t>
  </si>
  <si>
    <t>23/05/2026 00:00:00</t>
  </si>
  <si>
    <t>25/05/2026 11:45:21</t>
  </si>
  <si>
    <t>25/05/2026 11:49:50</t>
  </si>
  <si>
    <t>31379123</t>
  </si>
  <si>
    <t xml:space="preserve"> ESPECIALIZADO</t>
  </si>
  <si>
    <t>CE - CUENTA CON LA PLANOMETRIA EN PDV (HORIZONTAL/VERTICAL) NO LADEADO?</t>
  </si>
  <si>
    <t>CE - EL PDV MANEJA SNACKS, ESTAMOS PRESENTES? (REVISAR Y QUE SE VEA EN EL VIDEO)</t>
  </si>
  <si>
    <t>BARRANQUILLA</t>
  </si>
  <si>
    <t>425892</t>
  </si>
  <si>
    <t>425892 - UNIMED</t>
  </si>
  <si>
    <t>27/05/2026 09:33:10</t>
  </si>
  <si>
    <t>27/05/2026 09:33:15</t>
  </si>
  <si>
    <t>27/05/2026 09:33:20</t>
  </si>
  <si>
    <t>31389386</t>
  </si>
  <si>
    <t>27/05/2026 09:33:28</t>
  </si>
  <si>
    <t>27/05/2026 09:33:34</t>
  </si>
  <si>
    <t>27/05/2026 09:33:39</t>
  </si>
  <si>
    <t>27/05/2026 09:33:41</t>
  </si>
  <si>
    <t>27/05/2026 09:33:48</t>
  </si>
  <si>
    <t>27/05/2026 09:34:02</t>
  </si>
  <si>
    <t>27/05/2026 09:34:04</t>
  </si>
  <si>
    <t>27/05/2026 09:34:07</t>
  </si>
  <si>
    <t>27/05/2026 09:34:09</t>
  </si>
  <si>
    <t>27/05/2026 09:34:12</t>
  </si>
  <si>
    <t>27/05/2026 09:34:35</t>
  </si>
  <si>
    <t>27/05/2026 09:34:39</t>
  </si>
  <si>
    <t>27/05/2026 09:35:14</t>
  </si>
  <si>
    <t>27/05/2026 09:35:20</t>
  </si>
  <si>
    <t>27/05/2026 09:35:33</t>
  </si>
  <si>
    <t>27/05/2026 09:35:39</t>
  </si>
  <si>
    <t>27/05/2026 09:36:06</t>
  </si>
  <si>
    <t>27/05/2026 09:36:14</t>
  </si>
  <si>
    <t>27/05/2026 09:36:36</t>
  </si>
  <si>
    <t>27/05/2026 09:36:42</t>
  </si>
  <si>
    <t>27/05/2026 09:36:51</t>
  </si>
  <si>
    <t>27/05/2026 09:37:04</t>
  </si>
  <si>
    <t>27/05/2026 09:37:10</t>
  </si>
  <si>
    <t>27/05/2026 09:37:26</t>
  </si>
  <si>
    <t>27/05/2026 09:37:41</t>
  </si>
  <si>
    <t>27/05/2026 09:38:00</t>
  </si>
  <si>
    <t>27/05/2026 09:38:05</t>
  </si>
  <si>
    <t>27/05/2026 09:38:32</t>
  </si>
  <si>
    <t>27/05/2026 09:38:39</t>
  </si>
  <si>
    <t>27/05/2026 09:38:42</t>
  </si>
  <si>
    <t>27/05/2026 09:38:49</t>
  </si>
  <si>
    <t>103263</t>
  </si>
  <si>
    <t>AUTOSERVICIO AHORRAMAS</t>
  </si>
  <si>
    <t>30/05/2026 00:00:00</t>
  </si>
  <si>
    <t>30/05/2026 08:51:34</t>
  </si>
  <si>
    <t>30/05/2026 08:54:29</t>
  </si>
  <si>
    <t>31465725</t>
  </si>
  <si>
    <t>El asesor o asesora no se encuentra en el punto de venta; se espero hasta pasadas las 8 am pero no se presentó, indican que se encuentra en incapacidad.</t>
  </si>
  <si>
    <t>INFORME AUDITORIA                   MAYO</t>
  </si>
  <si>
    <t>https://drive.google.com/file/d/1D_d3zZVP0HjIg_r9FuHzk3CQiUTP1leV/view?usp=sharing</t>
  </si>
  <si>
    <t>https://drive.google.com/file/d/1q4znj-sZYga0AGFWHBAxPFPfPNRB6Drl/view?usp=sharing</t>
  </si>
  <si>
    <t>https://drive.google.com/file/d/1-k_iYHs27SP3Pyan0JRgHUezBlo6CFTi/view?usp=sharing</t>
  </si>
  <si>
    <t>SUPERMERCADO LA 13</t>
  </si>
  <si>
    <t>No se tiene canal Moderno porque era en Cartagena HOMECENTER CARTAGENA pero no se pudo y el backup era en Barranquilla UNIMED canal Especializado</t>
  </si>
  <si>
    <t>no se encuentran Snacks pero eso no puede afectar la calificación de la chica</t>
  </si>
  <si>
    <t>El PDV no maneja snacks por el momento</t>
  </si>
  <si>
    <t>Novedad con la persona encargada de hacer el mystery</t>
  </si>
  <si>
    <t>https://drive.google.com/file/d/1c79rCJlQAVGf_z2Yf1UjzhYW3Wi0XXt7/view?usp=sharing</t>
  </si>
  <si>
    <t>https://drive.google.com/file/d/1ionukm8SW-5XhkhNes0tc-1J0JZppf_T/view?usp=sharing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</si>
</sst>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sz val="9"/>
      <color indexed="9"/>
      <name val="Aptos"/>
      <family val="2"/>
    </font>
    <font>
      <sz val="9"/>
      <color theme="1"/>
      <name val="Aptos"/>
      <family val="2"/>
    </font>
    <font>
      <b/>
      <sz val="11"/>
      <color theme="1"/>
      <name val="Aptos Narrow"/>
      <family val="2"/>
      <scheme val="minor"/>
    </font>
    <font>
      <sz val="16"/>
      <color theme="1"/>
      <name val="Franklin Gothic Demi"/>
      <family val="2"/>
    </font>
    <font>
      <sz val="1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0"/>
      <color indexed="9"/>
      <name val="Aptos"/>
      <family val="2"/>
    </font>
    <font>
      <sz val="10"/>
      <color theme="1"/>
      <name val="Aptos Narrow"/>
      <family val="2"/>
      <scheme val="minor"/>
    </font>
    <font>
      <sz val="10"/>
      <color theme="1"/>
      <name val="Aptos"/>
      <family val="2"/>
    </font>
    <font>
      <u/>
      <sz val="11"/>
      <color theme="10"/>
      <name val="Aptos Narrow"/>
      <family val="2"/>
      <scheme val="minor"/>
    </font>
    <font>
      <sz val="11"/>
      <color indexed="8"/>
      <name val="Aptos Narrow"/>
      <family val="2"/>
      <scheme val="minor"/>
    </font>
    <font>
      <sz val="11"/>
      <color indexed="8"/>
      <name val="Calibri"/>
      <family val="2"/>
    </font>
    <font>
      <b/>
      <sz val="14"/>
      <color theme="1"/>
      <name val="Aptos Narrow"/>
      <family val="2"/>
      <scheme val="minor"/>
    </font>
    <font>
      <sz val="11"/>
      <color theme="1"/>
      <name val="Aptos"/>
      <family val="2"/>
    </font>
  </fonts>
  <fills count="18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/>
        <bgColor theme="9"/>
      </patternFill>
    </fill>
    <fill>
      <patternFill patternType="solid">
        <fgColor theme="5"/>
        <bgColor indexed="64"/>
      </patternFill>
    </fill>
    <fill>
      <patternFill patternType="solid">
        <fgColor rgb="FFEE0000"/>
        <bgColor indexed="64"/>
      </patternFill>
    </fill>
    <fill>
      <patternFill patternType="solid">
        <fgColor theme="5" tint="0.39997558519241921"/>
        <bgColor theme="6" tint="0.79998168889431442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theme="8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theme="7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5">
    <xf numFmtId="0" fontId="0" fillId="0" borderId="0"/>
    <xf numFmtId="0" fontId="1" fillId="0" borderId="0"/>
    <xf numFmtId="9" fontId="1" fillId="0" borderId="0" applyFon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/>
  </cellStyleXfs>
  <cellXfs count="8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8" fillId="0" borderId="0" xfId="0" applyFont="1"/>
    <xf numFmtId="0" fontId="8" fillId="0" borderId="0" xfId="0" applyFont="1" applyAlignment="1">
      <alignment horizontal="left" vertical="center"/>
    </xf>
    <xf numFmtId="9" fontId="9" fillId="6" borderId="0" xfId="0" applyNumberFormat="1" applyFont="1" applyFill="1" applyAlignment="1">
      <alignment horizontal="center" vertical="center"/>
    </xf>
    <xf numFmtId="0" fontId="0" fillId="0" borderId="0" xfId="0" applyAlignment="1">
      <alignment vertical="center"/>
    </xf>
    <xf numFmtId="9" fontId="9" fillId="7" borderId="0" xfId="0" applyNumberFormat="1" applyFont="1" applyFill="1" applyAlignment="1">
      <alignment horizontal="center" vertical="center"/>
    </xf>
    <xf numFmtId="0" fontId="9" fillId="0" borderId="0" xfId="0" applyFont="1"/>
    <xf numFmtId="9" fontId="9" fillId="3" borderId="0" xfId="0" applyNumberFormat="1" applyFont="1" applyFill="1" applyAlignment="1">
      <alignment horizontal="center" vertical="center"/>
    </xf>
    <xf numFmtId="0" fontId="7" fillId="0" borderId="0" xfId="0" pivotButton="1" applyFont="1"/>
    <xf numFmtId="0" fontId="7" fillId="0" borderId="0" xfId="0" applyFont="1" applyAlignment="1">
      <alignment horizontal="center" vertical="center"/>
    </xf>
    <xf numFmtId="0" fontId="7" fillId="4" borderId="0" xfId="0" applyFont="1" applyFill="1" applyAlignment="1">
      <alignment horizontal="center" vertical="center"/>
    </xf>
    <xf numFmtId="0" fontId="7" fillId="0" borderId="0" xfId="0" applyFont="1" applyAlignment="1">
      <alignment horizontal="left"/>
    </xf>
    <xf numFmtId="0" fontId="0" fillId="5" borderId="0" xfId="0" applyFill="1" applyAlignment="1">
      <alignment horizontal="center" vertical="center" wrapText="1"/>
    </xf>
    <xf numFmtId="0" fontId="7" fillId="0" borderId="0" xfId="0" pivotButton="1" applyFont="1" applyAlignment="1">
      <alignment horizontal="center" vertical="center" wrapText="1"/>
    </xf>
    <xf numFmtId="0" fontId="0" fillId="0" borderId="1" xfId="0" applyBorder="1"/>
    <xf numFmtId="0" fontId="2" fillId="2" borderId="0" xfId="0" applyFont="1" applyFill="1"/>
    <xf numFmtId="0" fontId="9" fillId="10" borderId="0" xfId="0" applyFont="1" applyFill="1"/>
    <xf numFmtId="1" fontId="10" fillId="11" borderId="1" xfId="0" applyNumberFormat="1" applyFont="1" applyFill="1" applyBorder="1" applyAlignment="1">
      <alignment horizontal="left" vertical="center"/>
    </xf>
    <xf numFmtId="1" fontId="10" fillId="11" borderId="1" xfId="0" applyNumberFormat="1" applyFont="1" applyFill="1" applyBorder="1" applyAlignment="1">
      <alignment horizontal="center" vertical="center"/>
    </xf>
    <xf numFmtId="1" fontId="9" fillId="0" borderId="1" xfId="0" applyNumberFormat="1" applyFont="1" applyBorder="1" applyAlignment="1">
      <alignment horizontal="left" vertical="center"/>
    </xf>
    <xf numFmtId="0" fontId="0" fillId="0" borderId="0" xfId="0" pivotButton="1" applyAlignment="1">
      <alignment horizontal="center" vertical="center"/>
    </xf>
    <xf numFmtId="0" fontId="10" fillId="12" borderId="1" xfId="0" applyFont="1" applyFill="1" applyBorder="1"/>
    <xf numFmtId="1" fontId="2" fillId="12" borderId="1" xfId="0" applyNumberFormat="1" applyFont="1" applyFill="1" applyBorder="1" applyAlignment="1">
      <alignment horizontal="left" vertical="center"/>
    </xf>
    <xf numFmtId="0" fontId="10" fillId="12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9" fontId="0" fillId="13" borderId="1" xfId="2" applyFont="1" applyFill="1" applyBorder="1" applyAlignment="1">
      <alignment horizontal="center"/>
    </xf>
    <xf numFmtId="0" fontId="0" fillId="0" borderId="0" xfId="0" applyAlignment="1">
      <alignment horizontal="right"/>
    </xf>
    <xf numFmtId="0" fontId="7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left"/>
    </xf>
    <xf numFmtId="0" fontId="0" fillId="0" borderId="0" xfId="0" applyAlignment="1">
      <alignment horizontal="left" vertical="center"/>
    </xf>
    <xf numFmtId="14" fontId="0" fillId="0" borderId="0" xfId="0" applyNumberFormat="1" applyAlignment="1">
      <alignment horizontal="left" vertical="center"/>
    </xf>
    <xf numFmtId="0" fontId="10" fillId="11" borderId="1" xfId="0" applyFont="1" applyFill="1" applyBorder="1"/>
    <xf numFmtId="0" fontId="10" fillId="11" borderId="1" xfId="0" applyFont="1" applyFill="1" applyBorder="1" applyAlignment="1">
      <alignment vertical="top" wrapText="1"/>
    </xf>
    <xf numFmtId="1" fontId="10" fillId="11" borderId="3" xfId="0" applyNumberFormat="1" applyFont="1" applyFill="1" applyBorder="1" applyAlignment="1">
      <alignment horizontal="center"/>
    </xf>
    <xf numFmtId="1" fontId="9" fillId="0" borderId="3" xfId="0" applyNumberFormat="1" applyFont="1" applyBorder="1" applyAlignment="1">
      <alignment horizontal="center"/>
    </xf>
    <xf numFmtId="0" fontId="9" fillId="0" borderId="1" xfId="0" applyFont="1" applyBorder="1"/>
    <xf numFmtId="0" fontId="0" fillId="0" borderId="1" xfId="0" applyBorder="1" applyAlignment="1">
      <alignment horizontal="center" vertical="center"/>
    </xf>
    <xf numFmtId="0" fontId="14" fillId="0" borderId="1" xfId="3" applyBorder="1" applyAlignment="1"/>
    <xf numFmtId="9" fontId="9" fillId="0" borderId="1" xfId="2" applyFont="1" applyBorder="1" applyAlignment="1">
      <alignment horizontal="center" vertical="center"/>
    </xf>
    <xf numFmtId="0" fontId="9" fillId="0" borderId="1" xfId="0" applyFont="1" applyBorder="1" applyAlignment="1">
      <alignment horizontal="left" vertical="center"/>
    </xf>
    <xf numFmtId="1" fontId="9" fillId="0" borderId="0" xfId="0" applyNumberFormat="1" applyFont="1" applyAlignment="1">
      <alignment horizontal="center"/>
    </xf>
    <xf numFmtId="0" fontId="0" fillId="16" borderId="0" xfId="0" applyFill="1"/>
    <xf numFmtId="0" fontId="11" fillId="8" borderId="1" xfId="1" applyFont="1" applyFill="1" applyBorder="1" applyAlignment="1">
      <alignment horizontal="center" vertical="center"/>
    </xf>
    <xf numFmtId="0" fontId="11" fillId="9" borderId="2" xfId="1" applyFont="1" applyFill="1" applyBorder="1" applyAlignment="1">
      <alignment horizontal="center" vertical="center"/>
    </xf>
    <xf numFmtId="0" fontId="5" fillId="9" borderId="2" xfId="1" applyFont="1" applyFill="1" applyBorder="1" applyAlignment="1">
      <alignment horizontal="center" vertical="center"/>
    </xf>
    <xf numFmtId="0" fontId="5" fillId="9" borderId="4" xfId="1" applyFont="1" applyFill="1" applyBorder="1" applyAlignment="1">
      <alignment horizontal="center" vertical="center"/>
    </xf>
    <xf numFmtId="0" fontId="13" fillId="0" borderId="1" xfId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6" fillId="0" borderId="3" xfId="1" applyFont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16" fillId="0" borderId="1" xfId="1" applyFont="1" applyBorder="1" applyAlignment="1">
      <alignment horizontal="center" vertical="center"/>
    </xf>
    <xf numFmtId="0" fontId="15" fillId="0" borderId="1" xfId="1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1" fillId="15" borderId="1" xfId="1" applyFont="1" applyFill="1" applyBorder="1" applyAlignment="1">
      <alignment horizontal="center" vertical="center"/>
    </xf>
    <xf numFmtId="0" fontId="12" fillId="0" borderId="0" xfId="0" applyFont="1" applyAlignment="1">
      <alignment horizontal="right"/>
    </xf>
    <xf numFmtId="0" fontId="12" fillId="0" borderId="0" xfId="0" applyFont="1" applyAlignment="1">
      <alignment horizontal="left"/>
    </xf>
    <xf numFmtId="0" fontId="10" fillId="14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7" fillId="6" borderId="6" xfId="0" applyFont="1" applyFill="1" applyBorder="1" applyAlignment="1">
      <alignment horizontal="center" vertical="center"/>
    </xf>
    <xf numFmtId="9" fontId="9" fillId="17" borderId="0" xfId="0" applyNumberFormat="1" applyFont="1" applyFill="1" applyAlignment="1">
      <alignment horizontal="center" vertical="center"/>
    </xf>
    <xf numFmtId="0" fontId="12" fillId="0" borderId="0" xfId="0" applyFont="1"/>
    <xf numFmtId="22" fontId="0" fillId="0" borderId="0" xfId="0" applyNumberFormat="1"/>
    <xf numFmtId="14" fontId="0" fillId="0" borderId="7" xfId="0" applyNumberFormat="1" applyBorder="1"/>
    <xf numFmtId="0" fontId="0" fillId="0" borderId="0" xfId="0" applyAlignment="1">
      <alignment horizontal="center" vertical="center" wrapText="1"/>
    </xf>
    <xf numFmtId="0" fontId="0" fillId="0" borderId="5" xfId="0" applyBorder="1" applyAlignment="1">
      <alignment horizontal="left" vertical="center"/>
    </xf>
    <xf numFmtId="0" fontId="0" fillId="0" borderId="1" xfId="0" applyBorder="1" applyAlignment="1">
      <alignment horizontal="center" vertical="center" wrapText="1"/>
    </xf>
    <xf numFmtId="0" fontId="6" fillId="0" borderId="9" xfId="1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8" xfId="1" applyFont="1" applyBorder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8" fillId="0" borderId="1" xfId="1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8" fillId="0" borderId="9" xfId="1" applyFont="1" applyBorder="1" applyAlignment="1">
      <alignment horizontal="center" vertical="center"/>
    </xf>
    <xf numFmtId="0" fontId="16" fillId="0" borderId="9" xfId="1" applyFont="1" applyBorder="1" applyAlignment="1">
      <alignment horizontal="center" vertical="center"/>
    </xf>
    <xf numFmtId="0" fontId="16" fillId="0" borderId="9" xfId="0" applyFont="1" applyBorder="1" applyAlignment="1">
      <alignment horizontal="center" vertical="center"/>
    </xf>
    <xf numFmtId="0" fontId="15" fillId="0" borderId="9" xfId="1" applyFont="1" applyBorder="1" applyAlignment="1">
      <alignment horizontal="center" vertical="center"/>
    </xf>
    <xf numFmtId="0" fontId="17" fillId="0" borderId="0" xfId="0" applyFont="1" applyAlignment="1">
      <alignment horizontal="center" vertical="center" wrapText="1"/>
    </xf>
    <xf numFmtId="0" fontId="17" fillId="0" borderId="0" xfId="0" applyFont="1" applyAlignment="1">
      <alignment horizontal="center" vertical="center"/>
    </xf>
  </cellXfs>
  <cellStyles count="5">
    <cellStyle name="Hipervínculo" xfId="3" builtinId="8"/>
    <cellStyle name="Normal" xfId="0" builtinId="0"/>
    <cellStyle name="Normal 2" xfId="1" xr:uid="{4295055E-378D-4CC5-B2A4-84281D75DBBF}"/>
    <cellStyle name="Normal 3" xfId="4" xr:uid="{E4260F30-A0F7-4660-9A95-A71008C78429}"/>
    <cellStyle name="Porcentaje" xfId="2" builtinId="5"/>
  </cellStyles>
  <dxfs count="21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numFmt numFmtId="19" formatCode="d/mm/yyyy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 style="thin">
          <color theme="7"/>
        </top>
        <bottom/>
      </border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27" formatCode="d/mm/yyyy\ h:mm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"/>
        <family val="2"/>
        <scheme val="none"/>
      </font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indexed="9"/>
        <name val="Aptos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9" formatCode="d/mm/yyyy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numFmt numFmtId="0" formatCode="General"/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ill>
        <patternFill>
          <bgColor theme="5" tint="0.79998168889431442"/>
        </patternFill>
      </fill>
    </dxf>
    <dxf>
      <fill>
        <patternFill patternType="solid">
          <bgColor rgb="FFFFC000"/>
        </patternFill>
      </fill>
    </dxf>
    <dxf>
      <font>
        <color auto="1"/>
      </font>
    </dxf>
    <dxf>
      <fill>
        <patternFill patternType="solid">
          <bgColor theme="0" tint="-4.9989318521683403E-2"/>
        </patternFill>
      </fill>
    </dxf>
    <dxf>
      <alignment horizontal="center"/>
    </dxf>
    <dxf>
      <alignment vertical="center"/>
    </dxf>
    <dxf>
      <numFmt numFmtId="13" formatCode="0%"/>
    </dxf>
    <dxf>
      <fill>
        <patternFill>
          <bgColor theme="5" tint="0.39997558519241921"/>
        </patternFill>
      </fill>
    </dxf>
    <dxf>
      <fill>
        <patternFill>
          <fgColor theme="6" tint="0.79998168889431442"/>
        </patternFill>
      </fill>
    </dxf>
    <dxf>
      <font>
        <b/>
      </font>
    </dxf>
    <dxf>
      <font>
        <b/>
      </font>
    </dxf>
    <dxf>
      <font>
        <b/>
      </font>
    </dxf>
    <dxf>
      <font>
        <color auto="1"/>
      </font>
    </dxf>
    <dxf>
      <font>
        <color auto="1"/>
      </font>
    </dxf>
    <dxf>
      <font>
        <color auto="1"/>
      </font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alignment horizontal="center"/>
    </dxf>
    <dxf>
      <alignment horizontal="center"/>
    </dxf>
    <dxf>
      <alignment vertical="center"/>
    </dxf>
    <dxf>
      <alignment vertical="center"/>
    </dxf>
    <dxf>
      <fill>
        <patternFill patternType="solid">
          <fgColor indexed="64"/>
          <bgColor rgb="FF00B050"/>
        </patternFill>
      </fill>
      <alignment horizontal="center" vertical="center"/>
    </dxf>
    <dxf>
      <numFmt numFmtId="13" formatCode="0%"/>
    </dxf>
    <dxf>
      <fill>
        <patternFill>
          <bgColor rgb="FF00B050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9"/>
        </patternFill>
      </fill>
    </dxf>
    <dxf>
      <alignment horizontal="center"/>
    </dxf>
    <dxf>
      <alignment horizontal="center"/>
    </dxf>
    <dxf>
      <alignment vertical="center"/>
    </dxf>
    <dxf>
      <alignment vertical="center"/>
    </dxf>
    <dxf>
      <numFmt numFmtId="13" formatCode="0%"/>
    </dxf>
    <dxf>
      <font>
        <color auto="1"/>
      </font>
      <fill>
        <patternFill patternType="solid">
          <fgColor indexed="64"/>
          <bgColor theme="5" tint="0.79998168889431442"/>
        </patternFill>
      </fill>
    </dxf>
    <dxf>
      <fill>
        <patternFill>
          <bgColor theme="0" tint="-4.9989318521683403E-2"/>
        </patternFill>
      </fill>
    </dxf>
    <dxf>
      <font>
        <color auto="1"/>
      </font>
    </dxf>
    <dxf>
      <fill>
        <patternFill patternType="solid">
          <bgColor theme="9" tint="0.79998168889431442"/>
        </patternFill>
      </fill>
    </dxf>
    <dxf>
      <font>
        <b/>
      </font>
    </dxf>
    <dxf>
      <alignment vertical="center"/>
    </dxf>
    <dxf>
      <alignment vertical="center"/>
    </dxf>
    <dxf>
      <alignment horizontal="general"/>
    </dxf>
    <dxf>
      <alignment horizontal="general"/>
    </dxf>
    <dxf>
      <font>
        <color auto="1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horizontal="center"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left"/>
    </dxf>
    <dxf>
      <alignment horizontal="left"/>
    </dxf>
    <dxf>
      <alignment vertical="center"/>
    </dxf>
    <dxf>
      <alignment vertical="center"/>
    </dxf>
    <dxf>
      <alignment wrapText="1"/>
    </dxf>
    <dxf>
      <fill>
        <patternFill patternType="solid">
          <bgColor rgb="FFFFC000"/>
        </patternFill>
      </fill>
    </dxf>
    <dxf>
      <font>
        <color auto="1"/>
      </font>
    </dxf>
    <dxf>
      <fill>
        <patternFill patternType="solid">
          <bgColor theme="0" tint="-4.9989318521683403E-2"/>
        </patternFill>
      </fill>
    </dxf>
    <dxf>
      <alignment horizontal="center"/>
    </dxf>
    <dxf>
      <alignment horizontal="center"/>
    </dxf>
    <dxf>
      <alignment vertical="center"/>
    </dxf>
    <dxf>
      <alignment vertical="center"/>
    </dxf>
    <dxf>
      <numFmt numFmtId="13" formatCode="0%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ill>
        <patternFill>
          <bgColor theme="5" tint="0.79998168889431442"/>
        </patternFill>
      </fill>
    </dxf>
    <dxf>
      <fill>
        <patternFill patternType="solid">
          <bgColor rgb="FFFFC000"/>
        </patternFill>
      </fill>
    </dxf>
    <dxf>
      <font>
        <color auto="1"/>
      </font>
    </dxf>
    <dxf>
      <fill>
        <patternFill patternType="solid">
          <bgColor theme="0" tint="-4.9989318521683403E-2"/>
        </patternFill>
      </fill>
    </dxf>
    <dxf>
      <alignment horizontal="center"/>
    </dxf>
    <dxf>
      <alignment vertical="center"/>
    </dxf>
    <dxf>
      <numFmt numFmtId="13" formatCode="0%"/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</dxfs>
  <tableStyles count="1" defaultTableStyle="TableStyleMedium2" defaultPivotStyle="PivotStyleLight16">
    <tableStyle name="Estilo de tabla dinámica 1" table="0" count="2" xr9:uid="{7CD1BCAD-EE2E-4FCA-9197-79EEB80D72C9}">
      <tableStyleElement type="headerRow" dxfId="216"/>
      <tableStyleElement type="totalRow" dxfId="215"/>
    </tableStyle>
  </tableStyles>
  <colors>
    <mruColors>
      <color rgb="FF00B0F0"/>
      <color rgb="FFFFF1C5"/>
      <color rgb="FF9966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onnections" Target="connections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20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07/relationships/slicerCache" Target="slicerCaches/slicerCache2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microsoft.com/office/2007/relationships/slicerCache" Target="slicerCaches/slicerCache1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lrMapOvr bg1="lt1" tx1="dk1" bg2="lt2" tx2="dk2" accent1="accent1" accent2="accent2" accent3="accent3" accent4="accent4" accent5="accent5" accent6="accent6" hlink="hlink" folHlink="folHlink"/>
  <c:pivotSource>
    <c:name>[Informe Auditoria Purina - MAYO 2026.xlsx]INFORME!TablaDinámica11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Resultados por cluster por Canal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solidFill>
            <a:schemeClr val="tx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chemeClr val="bg1">
                <a:lumMod val="95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rgbClr val="F0F0F0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tx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chemeClr val="bg1">
                <a:lumMod val="95000"/>
              </a:schemeClr>
            </a:solidFill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0F9ED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rgbClr val="F0F0F0"/>
            </a:solidFill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>
                <a:lumMod val="95000"/>
              </a:sysClr>
            </a:solidFill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</c:pivotFmt>
      <c:pivotFmt>
        <c:idx val="7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</c:pivotFmt>
      <c:pivotFmt>
        <c:idx val="8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INFORME!$E$16:$E$17</c:f>
              <c:strCache>
                <c:ptCount val="1"/>
                <c:pt idx="0">
                  <c:v>TRADICIONAL</c:v>
                </c:pt>
              </c:strCache>
            </c:strRef>
          </c:tx>
          <c:spPr>
            <a:solidFill>
              <a:schemeClr val="accent4">
                <a:shade val="76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INFORME!$D$18:$D$22</c:f>
              <c:strCache>
                <c:ptCount val="4"/>
                <c:pt idx="0">
                  <c:v>ACTIVIDADES DEL MES</c:v>
                </c:pt>
                <c:pt idx="1">
                  <c:v>EJECUCIÓN DEL PDV</c:v>
                </c:pt>
                <c:pt idx="2">
                  <c:v>HORARIO</c:v>
                </c:pt>
                <c:pt idx="3">
                  <c:v>PRESENTACIÓN PERSONAL</c:v>
                </c:pt>
              </c:strCache>
            </c:strRef>
          </c:cat>
          <c:val>
            <c:numRef>
              <c:f>INFORME!$E$18:$E$22</c:f>
              <c:numCache>
                <c:formatCode>0%</c:formatCode>
                <c:ptCount val="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DA-4BC2-9FB8-4879E930A982}"/>
            </c:ext>
          </c:extLst>
        </c:ser>
        <c:ser>
          <c:idx val="1"/>
          <c:order val="1"/>
          <c:tx>
            <c:strRef>
              <c:f>INFORME!$F$16:$F$17</c:f>
              <c:strCache>
                <c:ptCount val="1"/>
                <c:pt idx="0">
                  <c:v>ESPECIALIZADO</c:v>
                </c:pt>
              </c:strCache>
            </c:strRef>
          </c:tx>
          <c:spPr>
            <a:solidFill>
              <a:schemeClr val="accent4">
                <a:tint val="77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INFORME!$D$18:$D$22</c:f>
              <c:strCache>
                <c:ptCount val="4"/>
                <c:pt idx="0">
                  <c:v>ACTIVIDADES DEL MES</c:v>
                </c:pt>
                <c:pt idx="1">
                  <c:v>EJECUCIÓN DEL PDV</c:v>
                </c:pt>
                <c:pt idx="2">
                  <c:v>HORARIO</c:v>
                </c:pt>
                <c:pt idx="3">
                  <c:v>PRESENTACIÓN PERSONAL</c:v>
                </c:pt>
              </c:strCache>
            </c:strRef>
          </c:cat>
          <c:val>
            <c:numRef>
              <c:f>INFORME!$F$18:$F$22</c:f>
              <c:numCache>
                <c:formatCode>0%</c:formatCode>
                <c:ptCount val="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777-4AF8-B71B-29B29C54B09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050912800"/>
        <c:axId val="2050913280"/>
      </c:barChart>
      <c:catAx>
        <c:axId val="20509128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050913280"/>
        <c:crosses val="autoZero"/>
        <c:auto val="1"/>
        <c:lblAlgn val="ctr"/>
        <c:lblOffset val="100"/>
        <c:noMultiLvlLbl val="0"/>
      </c:catAx>
      <c:valAx>
        <c:axId val="2050913280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2050912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[Informe Auditoria Purina - MAYO 2026.xlsx]INFORME!TablaDinámica12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Resultados por cluster por Ciudad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chemeClr val="bg1">
                <a:lumMod val="95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rgbClr val="F0F0F0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chemeClr val="bg1">
                <a:lumMod val="95000"/>
              </a:schemeClr>
            </a:solidFill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rgbClr val="F0F0F0"/>
            </a:solidFill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>
                <a:lumMod val="95000"/>
              </a:sysClr>
            </a:solidFill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>
                <a:lumMod val="95000"/>
              </a:sysClr>
            </a:solidFill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>
                <a:lumMod val="95000"/>
              </a:sysClr>
            </a:solidFill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>
                <a:lumMod val="95000"/>
              </a:sysClr>
            </a:solidFill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INFORME!$E$26:$E$27</c:f>
              <c:strCache>
                <c:ptCount val="1"/>
                <c:pt idx="0">
                  <c:v>BOGOTA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solidFill>
                <a:schemeClr val="bg1">
                  <a:lumMod val="95000"/>
                </a:schemeClr>
              </a:solidFill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INFORME!$D$28:$D$32</c:f>
              <c:strCache>
                <c:ptCount val="4"/>
                <c:pt idx="0">
                  <c:v>ACTIVIDADES DEL MES</c:v>
                </c:pt>
                <c:pt idx="1">
                  <c:v>EJECUCIÓN DEL PDV</c:v>
                </c:pt>
                <c:pt idx="2">
                  <c:v>HORARIO</c:v>
                </c:pt>
                <c:pt idx="3">
                  <c:v>PRESENTACIÓN PERSONAL</c:v>
                </c:pt>
              </c:strCache>
            </c:strRef>
          </c:cat>
          <c:val>
            <c:numRef>
              <c:f>INFORME!$E$28:$E$32</c:f>
              <c:numCache>
                <c:formatCode>0%</c:formatCode>
                <c:ptCount val="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DA-4BC2-9FB8-4879E930A982}"/>
            </c:ext>
          </c:extLst>
        </c:ser>
        <c:ser>
          <c:idx val="1"/>
          <c:order val="1"/>
          <c:tx>
            <c:strRef>
              <c:f>INFORME!$F$26:$F$27</c:f>
              <c:strCache>
                <c:ptCount val="1"/>
                <c:pt idx="0">
                  <c:v>CALI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solidFill>
                <a:sysClr val="window" lastClr="FFFFFF">
                  <a:lumMod val="95000"/>
                </a:sysClr>
              </a:solidFill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INFORME!$D$28:$D$32</c:f>
              <c:strCache>
                <c:ptCount val="4"/>
                <c:pt idx="0">
                  <c:v>ACTIVIDADES DEL MES</c:v>
                </c:pt>
                <c:pt idx="1">
                  <c:v>EJECUCIÓN DEL PDV</c:v>
                </c:pt>
                <c:pt idx="2">
                  <c:v>HORARIO</c:v>
                </c:pt>
                <c:pt idx="3">
                  <c:v>PRESENTACIÓN PERSONAL</c:v>
                </c:pt>
              </c:strCache>
            </c:strRef>
          </c:cat>
          <c:val>
            <c:numRef>
              <c:f>INFORME!$F$28:$F$32</c:f>
              <c:numCache>
                <c:formatCode>0%</c:formatCode>
                <c:ptCount val="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BD5-4602-848D-7D4EB05598B1}"/>
            </c:ext>
          </c:extLst>
        </c:ser>
        <c:ser>
          <c:idx val="2"/>
          <c:order val="2"/>
          <c:tx>
            <c:strRef>
              <c:f>INFORME!$G$26:$G$27</c:f>
              <c:strCache>
                <c:ptCount val="1"/>
                <c:pt idx="0">
                  <c:v>BARRANQUILLA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solidFill>
                <a:sysClr val="window" lastClr="FFFFFF">
                  <a:lumMod val="95000"/>
                </a:sysClr>
              </a:solidFill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INFORME!$D$28:$D$32</c:f>
              <c:strCache>
                <c:ptCount val="4"/>
                <c:pt idx="0">
                  <c:v>ACTIVIDADES DEL MES</c:v>
                </c:pt>
                <c:pt idx="1">
                  <c:v>EJECUCIÓN DEL PDV</c:v>
                </c:pt>
                <c:pt idx="2">
                  <c:v>HORARIO</c:v>
                </c:pt>
                <c:pt idx="3">
                  <c:v>PRESENTACIÓN PERSONAL</c:v>
                </c:pt>
              </c:strCache>
            </c:strRef>
          </c:cat>
          <c:val>
            <c:numRef>
              <c:f>INFORME!$G$28:$G$32</c:f>
              <c:numCache>
                <c:formatCode>0%</c:formatCode>
                <c:ptCount val="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BD5-4602-848D-7D4EB05598B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050912800"/>
        <c:axId val="2050913280"/>
      </c:barChart>
      <c:catAx>
        <c:axId val="20509128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050913280"/>
        <c:crosses val="autoZero"/>
        <c:auto val="1"/>
        <c:lblAlgn val="ctr"/>
        <c:lblOffset val="100"/>
        <c:noMultiLvlLbl val="0"/>
      </c:catAx>
      <c:valAx>
        <c:axId val="2050913280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2050912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0</xdr:colOff>
      <xdr:row>1</xdr:row>
      <xdr:rowOff>67233</xdr:rowOff>
    </xdr:from>
    <xdr:to>
      <xdr:col>13</xdr:col>
      <xdr:colOff>0</xdr:colOff>
      <xdr:row>5</xdr:row>
      <xdr:rowOff>97116</xdr:rowOff>
    </xdr:to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43DFF3F2-6C69-9AFA-48CE-BBA38DD9A512}"/>
            </a:ext>
          </a:extLst>
        </xdr:cNvPr>
        <xdr:cNvSpPr txBox="1"/>
      </xdr:nvSpPr>
      <xdr:spPr>
        <a:xfrm>
          <a:off x="2017060" y="253998"/>
          <a:ext cx="2495176" cy="77694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1800" b="1"/>
            <a:t>NESTLE F&amp;B</a:t>
          </a:r>
        </a:p>
        <a:p>
          <a:r>
            <a:rPr lang="es-CO" sz="1100"/>
            <a:t>INFORME MYSTERY SHOPPER </a:t>
          </a:r>
        </a:p>
        <a:p>
          <a:endParaRPr lang="es-CO" sz="200"/>
        </a:p>
        <a:p>
          <a:r>
            <a:rPr lang="es-CO" sz="1000" i="1"/>
            <a:t>24</a:t>
          </a:r>
          <a:r>
            <a:rPr lang="es-CO" sz="1000" i="1" baseline="0"/>
            <a:t> Agosto al 4 Septiembre </a:t>
          </a:r>
          <a:endParaRPr lang="es-CO" sz="1000" i="1"/>
        </a:p>
      </xdr:txBody>
    </xdr:sp>
    <xdr:clientData/>
  </xdr:twoCellAnchor>
  <xdr:twoCellAnchor>
    <xdr:from>
      <xdr:col>13</xdr:col>
      <xdr:colOff>0</xdr:colOff>
      <xdr:row>1</xdr:row>
      <xdr:rowOff>7468</xdr:rowOff>
    </xdr:from>
    <xdr:to>
      <xdr:col>13</xdr:col>
      <xdr:colOff>0</xdr:colOff>
      <xdr:row>5</xdr:row>
      <xdr:rowOff>179292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8BA0075D-6610-9B93-DF97-FDD9D0641296}"/>
            </a:ext>
          </a:extLst>
        </xdr:cNvPr>
        <xdr:cNvSpPr/>
      </xdr:nvSpPr>
      <xdr:spPr>
        <a:xfrm>
          <a:off x="1837765" y="194233"/>
          <a:ext cx="52294" cy="918883"/>
        </a:xfrm>
        <a:prstGeom prst="rect">
          <a:avLst/>
        </a:prstGeom>
        <a:solidFill>
          <a:srgbClr val="996633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11</xdr:col>
      <xdr:colOff>666750</xdr:colOff>
      <xdr:row>17</xdr:row>
      <xdr:rowOff>75406</xdr:rowOff>
    </xdr:from>
    <xdr:to>
      <xdr:col>17</xdr:col>
      <xdr:colOff>522741</xdr:colOff>
      <xdr:row>39</xdr:row>
      <xdr:rowOff>39687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6DC84FFA-91C2-A047-EC7F-E35F34A602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158750</xdr:colOff>
      <xdr:row>6</xdr:row>
      <xdr:rowOff>72495</xdr:rowOff>
    </xdr:from>
    <xdr:to>
      <xdr:col>0</xdr:col>
      <xdr:colOff>2301875</xdr:colOff>
      <xdr:row>13</xdr:row>
      <xdr:rowOff>119062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9" name="CIUDAD">
              <a:extLst>
                <a:ext uri="{FF2B5EF4-FFF2-40B4-BE49-F238E27FC236}">
                  <a16:creationId xmlns:a16="http://schemas.microsoft.com/office/drawing/2014/main" id="{99DA9371-904D-B9CC-FEA2-A327FC85F7C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IUDAD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8750" y="1394090"/>
              <a:ext cx="2143125" cy="116575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162719</xdr:colOff>
      <xdr:row>14</xdr:row>
      <xdr:rowOff>23619</xdr:rowOff>
    </xdr:from>
    <xdr:to>
      <xdr:col>0</xdr:col>
      <xdr:colOff>2306882</xdr:colOff>
      <xdr:row>22</xdr:row>
      <xdr:rowOff>15875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0" name="NOMBRE COMERCIAL">
              <a:extLst>
                <a:ext uri="{FF2B5EF4-FFF2-40B4-BE49-F238E27FC236}">
                  <a16:creationId xmlns:a16="http://schemas.microsoft.com/office/drawing/2014/main" id="{F50E9D89-339A-DBE7-56A8-7DFF3F5D911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NOMBRE COMERCIAL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62719" y="2769994"/>
              <a:ext cx="2144163" cy="134163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>
    <xdr:from>
      <xdr:col>18</xdr:col>
      <xdr:colOff>80165</xdr:colOff>
      <xdr:row>17</xdr:row>
      <xdr:rowOff>65427</xdr:rowOff>
    </xdr:from>
    <xdr:to>
      <xdr:col>25</xdr:col>
      <xdr:colOff>549955</xdr:colOff>
      <xdr:row>39</xdr:row>
      <xdr:rowOff>39120</xdr:rowOff>
    </xdr:to>
    <xdr:graphicFrame macro="">
      <xdr:nvGraphicFramePr>
        <xdr:cNvPr id="12" name="Gráfico 11">
          <a:extLst>
            <a:ext uri="{FF2B5EF4-FFF2-40B4-BE49-F238E27FC236}">
              <a16:creationId xmlns:a16="http://schemas.microsoft.com/office/drawing/2014/main" id="{CDCED173-A93D-4192-FE60-24A713D147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93549</xdr:colOff>
      <xdr:row>3</xdr:row>
      <xdr:rowOff>10204</xdr:rowOff>
    </xdr:from>
    <xdr:to>
      <xdr:col>0</xdr:col>
      <xdr:colOff>2540709</xdr:colOff>
      <xdr:row>5</xdr:row>
      <xdr:rowOff>130594</xdr:rowOff>
    </xdr:to>
    <xdr:pic>
      <xdr:nvPicPr>
        <xdr:cNvPr id="2" name="Imagen 1" descr="Icono&#10;&#10;Descripción generada automáticamente">
          <a:extLst>
            <a:ext uri="{FF2B5EF4-FFF2-40B4-BE49-F238E27FC236}">
              <a16:creationId xmlns:a16="http://schemas.microsoft.com/office/drawing/2014/main" id="{97B8F53A-E4DF-4BA4-8837-4FC2CE280D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549" y="760298"/>
          <a:ext cx="2447160" cy="501390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iego Raul Guerrero Anaya" refreshedDate="46175.675207523149" createdVersion="8" refreshedVersion="8" minRefreshableVersion="3" recordCount="98" xr:uid="{FB106F23-78AF-4657-98AE-84D2CE3B6430}">
  <cacheSource type="worksheet">
    <worksheetSource name="Tabla2__2"/>
  </cacheSource>
  <cacheFields count="19">
    <cacheField name="ACTIVIDAD" numFmtId="0">
      <sharedItems/>
    </cacheField>
    <cacheField name="CIUDAD" numFmtId="0">
      <sharedItems containsBlank="1" count="12">
        <s v="CALI"/>
        <s v="BARRANQUILLA"/>
        <s v="BOGOTA"/>
        <s v="CARTAGENA" u="1"/>
        <s v="CHIA" u="1"/>
        <s v="MEDELLIN" u="1"/>
        <s v="PEREIRA" u="1"/>
        <s v="ENVIGADO" u="1"/>
        <s v="ARMENIA (QUINDIO)" u="1"/>
        <s v="BUCARAMANGA" u="1"/>
        <m u="1"/>
        <s v="ITAGUI" u="1"/>
      </sharedItems>
    </cacheField>
    <cacheField name="CANAL" numFmtId="0">
      <sharedItems containsMixedTypes="1" containsNumber="1" containsInteger="1" minValue="0" maxValue="0" count="3">
        <s v="TRADICIONAL"/>
        <s v="ESPECIALIZADO"/>
        <n v="0" u="1"/>
      </sharedItems>
    </cacheField>
    <cacheField name="CADENA" numFmtId="0">
      <sharedItems/>
    </cacheField>
    <cacheField name="CODIGO PDV" numFmtId="0">
      <sharedItems containsSemiMixedTypes="0" containsString="0" containsNumber="1" containsInteger="1" minValue="103263" maxValue="555967"/>
    </cacheField>
    <cacheField name="NOMBRE COMERCIAL" numFmtId="0">
      <sharedItems containsBlank="1" count="154">
        <s v="AHORRAMAS PASOANCHO"/>
        <s v="425892 - UNIMED"/>
        <s v="LAIKA USAQUEN"/>
        <s v="AUTOSERVICIO AHORRAMAS"/>
        <s v="424866-GRANERO PAUL" u="1"/>
        <s v="426071 - MASCOCLINICA" u="1"/>
        <s v="455352-LAIKA CHIA" u="1"/>
        <s v="448564 - ZAPATOCA CASTILLA" u="1"/>
        <s v="355912-MERCADOS ALCOSTO ALMENDROS" u="1"/>
        <s v="426084 - SURTIDOR OLAYA" u="1"/>
        <s v="SUPERTIENDAS COMUNAL CARDIO" u="1"/>
        <s v="421816 - DROGUERIA VETERINARIA CENTRO" u="1"/>
        <s v="447964-MAKRO BARRANQUILLA" u="1"/>
        <s v="355954-MUNDO MASCOTAS FERIAS" u="1"/>
        <s v="424831 - MUNDO MASCOTAS CRESPO" u="1"/>
        <s v="355519 - MY TIENDA FATIMA" u="1"/>
        <s v="152267 - AUTOSERVICIO METROWILFO" u="1"/>
        <s v="111523 - AUTOSERVICIO CRESPO" u="1"/>
        <s v="435253-MERCAYA DE LA 13" u="1"/>
        <s v="ZOOMARPETS" u="1"/>
        <s v="556280-DINASTIA PLAZA DE FLORES" u="1"/>
        <s v="42612-ALKOSTO AVENIDA 68" u="1"/>
        <s v="106585-SUPERMERCADOS GALERIAS PLAZA S.A.S." u="1"/>
        <s v="105398-HOMECENTER SAN JUAN" u="1"/>
        <s v="436935-AUTOSERVICIO EL CAMPANAZO" u="1"/>
        <s v="99639-SUPERMERCADO MERKOPOLIS" u="1"/>
        <s v="365463-MEGAPLAZA VILLA MARIA" u="1"/>
        <s v="426071-MASCOCLINICA" u="1"/>
        <s v="410244-AUTOSERVICIO CHAMPION" u="1"/>
        <s v="453160-DIVERPOOL MULTIPLAZA" u="1"/>
        <s v="442180-CLÍNICA VETERINARIA ENVALLE S.A.S." u="1"/>
        <s v="202264-MIL VARIEDADES CAMPO VALDEZ" u="1"/>
        <s v="363615-LA MONTAÑA AGROMERCADOS LA 14 DE COSMOCENTRO 129" u="1"/>
        <s v="191457-ALMACEN MI CORRAL 84" u="1"/>
        <s v="110508-ALMACEN EL MELAO" u="1"/>
        <s v="129909-MERCADOS LA COMPARCITA" u="1"/>
        <s v="66554-LA CARIÑOSA" u="1"/>
        <s v="DISTRIBUCIONES MILENA" u="1"/>
        <s v="382375-PORVENIR SAN ISIDRO" u="1"/>
        <s v="201118-MERCABOY CLL 163" u="1"/>
        <s v="LA CASA DE LOS TENDEROS" u="1"/>
        <s v="555193-SUPERMERCADO EL POLEO" u="1"/>
        <s v="150269-CEBA 73" u="1"/>
        <s v="185063-TIENDA QUINTA DE OESTE" u="1"/>
        <s v="127057-AHORRAMAX" u="1"/>
        <s v="556181-CAÑAVERAL LUNA COOTRAEMCALI" u="1"/>
        <s v="CARULLA PANCE" u="1"/>
        <s v="437044-SURTIFAMILIAR CACHIPAY" u="1"/>
        <s v="350997-VIVE SUPER" u="1"/>
        <s v="427395-OLIMPICA STO 047 MACARENA" u="1"/>
        <s v="156879-AUTOSERVICIO EL RODEO DT" u="1"/>
        <s v="126912-LA CANASTA CAMPESINA" u="1"/>
        <s v="344182-EASY ALTOS DEL PRADO" u="1"/>
        <s v="245831-PUPPIS VIVA BARRANQUILLA" u="1"/>
        <s v="421577-DEGANADO ALAMEDA" u="1"/>
        <s v="356625-AGRO LA HACIENDA SAS NORTE" u="1"/>
        <s v="453005-DIVERPOOL LA ESMERALDA" u="1"/>
        <s v="CONCENTRADOS EL RANCHO LTDA DROGUERIA VETERINARIA" u="1"/>
        <s v="103569-CAÑAVERAL LIMONAR" u="1"/>
        <s v="376302-AUTOSERVICIO EL PEDREGAL MG SAS-BOGOTA" u="1"/>
        <s v="MERCAMIO CALLE 5" u="1"/>
        <s v="456498-MERCA Z CALI" u="1"/>
        <s v="ZAPATOCA VILLA LUZ" u="1"/>
        <s v="55306-SUPAPA REFUGIO" u="1"/>
        <s v="12211-PROVEEDURIA EMPRESAS PUBLICAS EPM" u="1"/>
        <s v="12397-EXITO OCCIDENTE" u="1"/>
        <s v="103470612-MERCALDAS-BOGOTA" u="1"/>
        <s v="434812-AUTOSERVICIO IDMT" u="1"/>
        <s v="12394-EXITO CALLE 80" u="1"/>
        <s v="427385-OLIMPICA STO 094 VILLA CAROLINA" u="1"/>
        <s v="Exito  Country WOW" u="1"/>
        <s v="12054-JUMBO ALTOS DEL PRADO" u="1"/>
        <s v="12565-JUMBO SANTA ANA" u="1"/>
        <s v="EXITO ENVIGADO" u="1"/>
        <s v="Jumbo Las Vegas" u="1"/>
        <s v="12559-JUMBO CALLE 80" u="1"/>
        <s v="Jumbo Calle 170" u="1"/>
        <s v="12568-JUMBO CHIA" u="1"/>
        <s v="12041-EXITO BUENA VISTA (CV) BLLA" u="1"/>
        <s v="59430-MERCADO ZAPATOCA" u="1"/>
        <s v="419758-Vaquita El Poblado" u="1"/>
        <s v="13505-EXITO UNICENTRO ARMENIA" u="1"/>
        <s v="458848-EURO FRONTERA" u="1"/>
        <s v="12557-JUMBO BULEVAR NIZA" u="1"/>
        <s v="427729-AUTOSERVICIO EL PERDOMO" u="1"/>
        <s v="JUMBO CHIA" u="1"/>
        <s v="PORVENIR FERIAS" u="1"/>
        <s v="191305-OLIMPICA SDO 544 DROGUERIA" u="1"/>
        <s v="191185-OLIMPICA STO 103 BOCAGRANDE DROGUERIA" u="1"/>
        <s v="Exito Poblado." u="1"/>
        <s v="Exito Cabecera" u="1"/>
        <s v="EXITO VIVA LAURELES" u="1"/>
        <s v="JUMBO HAYUELOS" u="1"/>
        <s v="JUMBO SANTA FE" u="1"/>
        <s v="OLIMPICA STO 093 CR 46" u="1"/>
        <s v="CLINICA VETERINARIA DON PERRO BARRANQUILLA" u="1"/>
        <s v="AGROCAMPO S.A.S." u="1"/>
        <s v="HOMECENTER AUTOPISTA NORTE BOGOTA" u="1"/>
        <s v="PUPPIS CALIMA" u="1"/>
        <s v="PUPPIS CARRERA 15" u="1"/>
        <s v="SUPERMASCOTAS CIUDAD JARDIN" u="1"/>
        <s v="EXITO LAURELES." u="1"/>
        <s v="PLAZA PETS S.A.S." u="1"/>
        <s v="EXITO COUNTRY" u="1"/>
        <s v="HOMECENTER CALLE 80 CR 68" u="1"/>
        <s v="MUNDIAL DE GRANOS Y PANELAS S.A.S." u="1"/>
        <s v="PUPPIS CALLE 85" u="1"/>
        <s v="DEGANADO NORTE" u="1"/>
        <s v="PDV GENERICO 1" u="1"/>
        <s v="MERCAFAMILIAR LAS PALMAS S.A.S." u="1"/>
        <s v="SERVICE CAN COLOMBIA" u="1"/>
        <s v="AHORRE MAS" u="1"/>
        <s v="OLIMPICA 405 PLAZA DE LAS AMERICAS" u="1"/>
        <s v="AGROGANADERO DEL CARIBE S.A.S." u="1"/>
        <m u="1"/>
        <s v="EURO  FLORIDA" u="1"/>
        <s v="CANAVERAL PANCE" u="1"/>
        <s v="CHALO 3" u="1"/>
        <s v="439301-AVENTURA PLAZA MASCOTAS MARSELLA" u="1"/>
        <s v="435146-KAMARI PETS S.A.S." u="1"/>
        <s v="424798-PETCOL CEDRITOS" u="1"/>
        <s v="12479-EXITO GRAN ESTACION" u="1"/>
        <s v="TIERRAGRO MEDELLIN" u="1"/>
        <s v="LA CARIÑOSA" u="1"/>
        <s v="424776-CEBA USAQUEN" u="1"/>
        <s v="425918-KUMPET S.A.S." u="1"/>
        <s v="425172-JUMBO AUTOPISTA SUR" u="1"/>
        <s v="EL RANCHO." u="1"/>
        <s v="421532-TIERRAGRO MEDELLIN" u="1"/>
        <s v="29714-MERCAMIO CALLE 5" u="1"/>
        <s v="12130-ÉXITO LAURELES" u="1"/>
        <s v="12108-OLIMPICA STO 053 PORTAL DEL PRADO" u="1"/>
        <s v="424887-TIERRAGRO ITAGUI" u="1"/>
        <s v="424893-HOMECENTER CALLE 80" u="1"/>
        <s v="442220-AGROCORRALES ITAGUI" u="1"/>
        <s v="ANIMAL CENTER S.A.S GALERIAS" u="1"/>
        <s v="CLINICA DOVER S.A.S." u="1"/>
        <s v="ANIMALS COLINA AV LAS VILLAS" u="1"/>
        <s v="ANIMAL CENTER S.A.S." u="1"/>
        <s v="SUPERTIENDAS CANAVERAL S.A.S." u="1"/>
        <s v="SURTICAMPO S.A." u="1"/>
        <s v="ALMACENES EXITO S.A." u="1"/>
        <s v="SUPERTIENDAS Y DROGUERIAS OLIMPICA S.A." u="1"/>
        <s v="DISTRIBUIDORA SUPER 80 S.A." u="1"/>
        <s v="SUPERMERCADO EURO - LC 6 Y 7" u="1"/>
        <s v="EXITO CHIPICHAPE" u="1"/>
        <s v="JUMBO VALLE DEL LILI" u="1"/>
        <s v="CARULLA CALLE 140" u="1"/>
        <s v="JUMBO SANTA ANA" u="1"/>
        <s v="JUMBO CALLE 80" u="1"/>
        <s v="MEGATIENDAS CABRERO" u="1"/>
        <s v="OLIMPICA STO 105 LA PLAZUELA CARTAGENA" u="1"/>
        <s v="FARMATODO CEDRITOS 2" u="1"/>
        <s v="OLIMPICA STO 105 LA PLAZUELA" u="1"/>
      </sharedItems>
    </cacheField>
    <cacheField name="PREGUNTA" numFmtId="0">
      <sharedItems/>
    </cacheField>
    <cacheField name="RTA" numFmtId="0">
      <sharedItems/>
    </cacheField>
    <cacheField name="FECHA VISITA" numFmtId="14">
      <sharedItems containsNonDate="0" containsString="0" containsBlank="1"/>
    </cacheField>
    <cacheField name="CODIGO RUTA" numFmtId="0">
      <sharedItems containsSemiMixedTypes="0" containsString="0" containsNumber="1" containsInteger="1" minValue="31364497" maxValue="31465725"/>
    </cacheField>
    <cacheField name="USUARIO" numFmtId="0">
      <sharedItems/>
    </cacheField>
    <cacheField name="MYSTERY EFECTIVO" numFmtId="0">
      <sharedItems containsMixedTypes="1" containsNumber="1" containsInteger="1" minValue="0" maxValue="0" count="3">
        <s v="SI"/>
        <s v=" NO"/>
        <n v="0" u="1"/>
      </sharedItems>
    </cacheField>
    <cacheField name="CLUSTER" numFmtId="0">
      <sharedItems containsMixedTypes="1" containsNumber="1" containsInteger="1" minValue="0" maxValue="0" count="6">
        <s v="N/A"/>
        <s v="PRESENTACIÓN PERSONAL"/>
        <s v="HORARIO"/>
        <s v="ACTIVIDADES DEL MES"/>
        <s v="EJECUCIÓN DEL PDV"/>
        <n v="0" u="1"/>
      </sharedItems>
    </cacheField>
    <cacheField name="TOTAL PUNTAJE" numFmtId="0">
      <sharedItems containsSemiMixedTypes="0" containsString="0" containsNumber="1" minValue="0" maxValue="20"/>
    </cacheField>
    <cacheField name="RTA CORRECTA" numFmtId="0">
      <sharedItems containsMixedTypes="1" containsNumber="1" containsInteger="1" minValue="0" maxValue="0"/>
    </cacheField>
    <cacheField name="PUNTAJE OBTENIDO" numFmtId="0">
      <sharedItems containsSemiMixedTypes="0" containsString="0" containsNumber="1" minValue="0" maxValue="20"/>
    </cacheField>
    <cacheField name="Columna1" numFmtId="0">
      <sharedItems containsSemiMixedTypes="0" containsString="0" containsNumber="1" containsInteger="1" minValue="0" maxValue="0"/>
    </cacheField>
    <cacheField name="Columna2" numFmtId="0">
      <sharedItems containsNonDate="0" containsString="0" containsBlank="1"/>
    </cacheField>
    <cacheField name="% MYSTERY" numFmtId="0" formula="'PUNTAJE OBTENIDO'/'TOTAL PUNTAJE'" databaseField="0"/>
  </cacheFields>
  <extLst>
    <ext xmlns:x14="http://schemas.microsoft.com/office/spreadsheetml/2009/9/main" uri="{725AE2AE-9491-48be-B2B4-4EB974FC3084}">
      <x14:pivotCacheDefinition pivotCacheId="602717627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iego Raul Guerrero Anaya" refreshedDate="46175.675208217595" createdVersion="8" refreshedVersion="8" minRefreshableVersion="3" recordCount="5" xr:uid="{CF551015-06BD-4229-9B56-77016B602580}">
  <cacheSource type="worksheet">
    <worksheetSource name="Tabla1"/>
  </cacheSource>
  <cacheFields count="11">
    <cacheField name="CANAL" numFmtId="0">
      <sharedItems/>
    </cacheField>
    <cacheField name="CIUDAD" numFmtId="0">
      <sharedItems containsBlank="1" count="15">
        <s v="BOGOTA"/>
        <s v="CALI"/>
        <s v="BARRANQUILLA"/>
        <s v="PEREIRA"/>
        <s v="CARTAGENA" u="1"/>
        <s v="CHIA" u="1"/>
        <s v="MEDELLIN" u="1"/>
        <s v="ENVIGADO" u="1"/>
        <m u="1"/>
        <s v="ARMENIA (QUINDIO)" u="1"/>
        <s v="BUCARAMANGA" u="1"/>
        <s v="ITAGUI" u="1"/>
        <s v="PALMIRA" u="1"/>
        <s v="BELLO" u="1"/>
        <s v="SOACHA" u="1"/>
      </sharedItems>
    </cacheField>
    <cacheField name="CODIGO PDV" numFmtId="0">
      <sharedItems containsSemiMixedTypes="0" containsString="0" containsNumber="1" containsInteger="1" minValue="103263" maxValue="555967"/>
    </cacheField>
    <cacheField name="NOMBRE COMERCIAL" numFmtId="0">
      <sharedItems/>
    </cacheField>
    <cacheField name="Objetivo Mystery" numFmtId="0">
      <sharedItems containsSemiMixedTypes="0" containsString="0" containsNumber="1" containsInteger="1" minValue="1" maxValue="1"/>
    </cacheField>
    <cacheField name="#PDV Objetivos" numFmtId="0">
      <sharedItems containsSemiMixedTypes="0" containsString="0" containsNumber="1" containsInteger="1" minValue="1" maxValue="1"/>
    </cacheField>
    <cacheField name="#PDV Ejecutados" numFmtId="0">
      <sharedItems containsSemiMixedTypes="0" containsString="0" containsNumber="1" containsInteger="1" minValue="0" maxValue="1"/>
    </cacheField>
    <cacheField name="# Visitas" numFmtId="0">
      <sharedItems containsSemiMixedTypes="0" containsString="0" containsNumber="1" containsInteger="1" minValue="0" maxValue="1"/>
    </cacheField>
    <cacheField name="Mystery Ejecutado" numFmtId="0">
      <sharedItems containsSemiMixedTypes="0" containsString="0" containsNumber="1" containsInteger="1" minValue="0" maxValue="1"/>
    </cacheField>
    <cacheField name="% Ejecucion" numFmtId="0" formula="'#PDV Ejecutados'/'#PDV Objetivos'" databaseField="0"/>
    <cacheField name="% Efectividad" numFmtId="0" formula="'Mystery Ejecutado'/'Objetivo Mystery'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8">
  <r>
    <s v="NESTLE PURINA"/>
    <x v="0"/>
    <x v="0"/>
    <s v="TRADICIONAL"/>
    <n v="127058"/>
    <x v="0"/>
    <s v="SE LOGRA REALIZAR LA AUDITORIA?"/>
    <s v="SI"/>
    <m/>
    <n v="31364497"/>
    <s v="PREMISEUNP 51"/>
    <x v="0"/>
    <x v="0"/>
    <n v="0"/>
    <n v="0"/>
    <n v="0"/>
    <n v="0"/>
    <m/>
  </r>
  <r>
    <s v="NESTLE PURINA"/>
    <x v="1"/>
    <x v="1"/>
    <s v="ESPECIALIZADO"/>
    <n v="425892"/>
    <x v="1"/>
    <s v="SU CABELLO LUCE LIMPIO, ORGANIZADO O RECOGIDO"/>
    <s v="SI"/>
    <m/>
    <n v="31389386"/>
    <s v="NestleP.5"/>
    <x v="0"/>
    <x v="1"/>
    <n v="1"/>
    <s v="SI"/>
    <n v="1"/>
    <n v="0"/>
    <m/>
  </r>
  <r>
    <s v="NESTLE PURINA"/>
    <x v="1"/>
    <x v="1"/>
    <s v="ESPECIALIZADO"/>
    <n v="425892"/>
    <x v="1"/>
    <s v="EL UNIFORME Y ZAPATOS SE ENCUENTRAN LIMPIOS Y EN BUEN ESTADO"/>
    <s v="SI"/>
    <m/>
    <n v="31389386"/>
    <s v="NestleP.5"/>
    <x v="0"/>
    <x v="1"/>
    <n v="1"/>
    <s v="SI"/>
    <n v="1"/>
    <n v="0"/>
    <m/>
  </r>
  <r>
    <s v="NESTLE PURINA"/>
    <x v="1"/>
    <x v="1"/>
    <s v="ESPECIALIZADO"/>
    <n v="425892"/>
    <x v="1"/>
    <s v="POSEE ALGUNA PRENDA ENCIMA DEL UNIFORME NO AUTORIZADA POR LA MARCA (UNICAMENTE ESTA PERMITIDO CHALECO DE SODIMAC Y EASY)"/>
    <s v=" NO"/>
    <m/>
    <n v="31389386"/>
    <s v="NestleP.5"/>
    <x v="0"/>
    <x v="1"/>
    <n v="1"/>
    <s v=" NO"/>
    <n v="1"/>
    <n v="0"/>
    <m/>
  </r>
  <r>
    <s v="NESTLE PURINA"/>
    <x v="1"/>
    <x v="1"/>
    <s v="ESPECIALIZADO"/>
    <n v="425892"/>
    <x v="1"/>
    <s v="CUENTA CON CALZADO DE ACUERDO AL UNIFORME"/>
    <s v="SI"/>
    <m/>
    <n v="31389386"/>
    <s v="NestleP.5"/>
    <x v="0"/>
    <x v="1"/>
    <n v="1"/>
    <s v="SI"/>
    <n v="1"/>
    <n v="0"/>
    <m/>
  </r>
  <r>
    <s v="NESTLE PURINA"/>
    <x v="1"/>
    <x v="1"/>
    <s v="ESPECIALIZADO"/>
    <n v="425892"/>
    <x v="1"/>
    <s v="CUENTA CON CAMISA DEL UNIFORME Y LOGOS SEGÚN EL CARGO (NEGRA / GRIS / ROJA / TURQUESA) (ES PERMITIDO USAR DEBAJO DE LA CAMISA BUSO MANGA LARGA NEGRO)"/>
    <s v="SI"/>
    <m/>
    <n v="31389386"/>
    <s v="NestleP.5"/>
    <x v="0"/>
    <x v="1"/>
    <n v="1"/>
    <s v="SI"/>
    <n v="1"/>
    <n v="0"/>
    <m/>
  </r>
  <r>
    <s v="NESTLE PURINA"/>
    <x v="1"/>
    <x v="1"/>
    <s v="ESPECIALIZADO"/>
    <n v="425892"/>
    <x v="1"/>
    <s v="CUENTA CON PANTALON DEL UNIFORME SEGÚN EL CARGO (NEGRO / ROJO / TURQUESA / JEAN)"/>
    <s v="SI"/>
    <m/>
    <n v="31389386"/>
    <s v="NestleP.5"/>
    <x v="0"/>
    <x v="1"/>
    <n v="1"/>
    <s v="SI"/>
    <n v="1"/>
    <n v="0"/>
    <m/>
  </r>
  <r>
    <s v="NESTLE PURINA"/>
    <x v="1"/>
    <x v="1"/>
    <s v="ESPECIALIZADO"/>
    <n v="425892"/>
    <x v="1"/>
    <s v="¿CUMPLE HORARIO DE ENTRADA O SALIDA DE LA TIENDA?"/>
    <s v="SI"/>
    <m/>
    <n v="31389386"/>
    <s v="NestleP.5"/>
    <x v="0"/>
    <x v="2"/>
    <n v="20"/>
    <s v="SI"/>
    <n v="20"/>
    <n v="0"/>
    <m/>
  </r>
  <r>
    <s v="NESTLE PURINA"/>
    <x v="1"/>
    <x v="1"/>
    <s v="ESPECIALIZADO"/>
    <n v="425892"/>
    <x v="1"/>
    <s v="SE LOGRA REALIZAR LA AUDITORIA?"/>
    <s v="SI"/>
    <m/>
    <n v="31389386"/>
    <s v="NestleP.5"/>
    <x v="0"/>
    <x v="0"/>
    <n v="0"/>
    <n v="0"/>
    <n v="0"/>
    <n v="0"/>
    <m/>
  </r>
  <r>
    <s v="NESTLE PURINA"/>
    <x v="2"/>
    <x v="1"/>
    <s v="ESPECIALIZADO"/>
    <n v="555967"/>
    <x v="2"/>
    <s v="INDIQUE OBSERVACIÓN/NOVEDAD"/>
    <s v="El PDV no maneja snacks por el momento"/>
    <m/>
    <n v="31379123"/>
    <s v="NestleP.1"/>
    <x v="0"/>
    <x v="0"/>
    <n v="0"/>
    <n v="0"/>
    <n v="0"/>
    <n v="0"/>
    <m/>
  </r>
  <r>
    <s v="NESTLE PURINA"/>
    <x v="1"/>
    <x v="1"/>
    <s v="ESPECIALIZADO"/>
    <n v="425892"/>
    <x v="1"/>
    <s v="PRESENTA EXCESO DE MAQUILLAJE QUE NO CUMPLE CON EL CODIGO DE VESTIMENTA"/>
    <s v=" NO"/>
    <m/>
    <n v="31389386"/>
    <s v="NestleP.5"/>
    <x v="0"/>
    <x v="1"/>
    <n v="1"/>
    <s v=" NO"/>
    <n v="1"/>
    <n v="0"/>
    <m/>
  </r>
  <r>
    <s v="NESTLE PURINA"/>
    <x v="2"/>
    <x v="1"/>
    <s v="ESPECIALIZADO"/>
    <n v="555967"/>
    <x v="2"/>
    <s v="DESEA AÑADIR ALGUNA OBSERVACION / NOVEDAD CON LA AUDITORIA REALIZADA?"/>
    <s v=" NO"/>
    <m/>
    <n v="31379123"/>
    <s v="NestleP.1"/>
    <x v="0"/>
    <x v="0"/>
    <n v="0"/>
    <n v="0"/>
    <n v="0"/>
    <n v="0"/>
    <m/>
  </r>
  <r>
    <s v="NESTLE PURINA"/>
    <x v="2"/>
    <x v="1"/>
    <s v="ESPECIALIZADO"/>
    <n v="555967"/>
    <x v="2"/>
    <s v="CE - SE ENCUENTRA LA REFERENCIA PRO PLAN WET DE SALMON Y/URINARIO"/>
    <s v="SI"/>
    <m/>
    <n v="31379123"/>
    <s v="NestleP.1"/>
    <x v="0"/>
    <x v="3"/>
    <n v="6.666666666666667"/>
    <s v="SI"/>
    <n v="6.666666666666667"/>
    <n v="0"/>
    <m/>
  </r>
  <r>
    <s v="NESTLE PURINA"/>
    <x v="2"/>
    <x v="1"/>
    <s v="ESPECIALIZADO"/>
    <n v="555967"/>
    <x v="2"/>
    <s v="CE - CUENTA CON LA PLANOMETRIA EN PDV (HORIZONTAL/VERTICAL) NO LADEADO?"/>
    <s v="SI"/>
    <m/>
    <n v="31379123"/>
    <s v="NestleP.1"/>
    <x v="0"/>
    <x v="3"/>
    <n v="6.666666666666667"/>
    <s v="SI"/>
    <n v="6.666666666666667"/>
    <n v="0"/>
    <m/>
  </r>
  <r>
    <s v="NESTLE PURINA"/>
    <x v="2"/>
    <x v="1"/>
    <s v="ESPECIALIZADO"/>
    <n v="555967"/>
    <x v="2"/>
    <s v="CE - SE ENCUENTRA LA NUEVA REFERENCIA DE EXCELLENT ESTIRILIZADO DE 1K?"/>
    <s v="SI"/>
    <m/>
    <n v="31379123"/>
    <s v="NestleP.1"/>
    <x v="0"/>
    <x v="3"/>
    <n v="6.666666666666667"/>
    <s v="SI"/>
    <n v="6.666666666666667"/>
    <n v="0"/>
    <m/>
  </r>
  <r>
    <s v="NESTLE PURINA"/>
    <x v="2"/>
    <x v="1"/>
    <s v="ESPECIALIZADO"/>
    <n v="555967"/>
    <x v="2"/>
    <s v="CE - SE ENCUENTRA EN EL LINEAL LAS REFERENCIAS 1,5 EN PU Y ADU DE LA MARCA EXCELLENT?"/>
    <s v="SI"/>
    <m/>
    <n v="31379123"/>
    <s v="NestleP.1"/>
    <x v="0"/>
    <x v="3"/>
    <n v="6.666666666666667"/>
    <s v="SI"/>
    <n v="6.666666666666667"/>
    <n v="0"/>
    <m/>
  </r>
  <r>
    <s v="NESTLE PURINA"/>
    <x v="2"/>
    <x v="1"/>
    <s v="ESPECIALIZADO"/>
    <n v="555967"/>
    <x v="2"/>
    <s v="CE - SE ENCUENTRAN LAS INNOVACIONES (RENOVACIÓN DE POCUHES PRO PLAN, &quot;FANCY 15 MARZO&quot; FELIX TRIPLE DELICIUS Y MEGAMIX, DOG CHOW POUCHES DE ALTA PROTEINA Y MULTIPROTEINA)"/>
    <s v="SI"/>
    <m/>
    <n v="31379123"/>
    <s v="NestleP.1"/>
    <x v="0"/>
    <x v="3"/>
    <n v="6.666666666666667"/>
    <s v="SI"/>
    <n v="6.666666666666667"/>
    <n v="0"/>
    <m/>
  </r>
  <r>
    <s v="NESTLE PURINA"/>
    <x v="2"/>
    <x v="1"/>
    <s v="ESPECIALIZADO"/>
    <n v="555967"/>
    <x v="2"/>
    <s v="SELECCIONE EL CANAL DEL PDV AUDITADO?"/>
    <s v=" ESPECIALIZADO"/>
    <m/>
    <n v="31379123"/>
    <s v="NestleP.1"/>
    <x v="0"/>
    <x v="0"/>
    <n v="0"/>
    <n v="0"/>
    <n v="0"/>
    <n v="0"/>
    <m/>
  </r>
  <r>
    <s v="NESTLE PURINA"/>
    <x v="2"/>
    <x v="1"/>
    <s v="ESPECIALIZADO"/>
    <n v="555967"/>
    <x v="2"/>
    <s v="CONOCE EL % DE PARTICIPACIÓN QUE TIENEN LAS MARCAS PURINA DENTRO DEL UNIVERSO?"/>
    <s v="SI"/>
    <m/>
    <n v="31379123"/>
    <s v="NestleP.1"/>
    <x v="0"/>
    <x v="4"/>
    <n v="0"/>
    <s v="SI"/>
    <n v="0"/>
    <n v="0"/>
    <m/>
  </r>
  <r>
    <s v="NESTLE PURINA"/>
    <x v="2"/>
    <x v="1"/>
    <s v="ESPECIALIZADO"/>
    <n v="555967"/>
    <x v="2"/>
    <s v="MANEJA MARCA DE PERROS, GATOS O AMBOS, Y HAY PRESENCIA DE LA COMPETENCIA? (EN EL VIDEO DEBE QUEDAR LA VISUAL DE LAS MARCAS DE LA COMPETENCIA PRESENTES EN EL PDV)"/>
    <s v="SI"/>
    <m/>
    <n v="31379123"/>
    <s v="NestleP.1"/>
    <x v="0"/>
    <x v="4"/>
    <n v="0"/>
    <s v="SI"/>
    <n v="0"/>
    <n v="0"/>
    <m/>
  </r>
  <r>
    <s v="NESTLE PURINA"/>
    <x v="2"/>
    <x v="1"/>
    <s v="ESPECIALIZADO"/>
    <n v="555967"/>
    <x v="2"/>
    <s v="LOS PRECIOS ESTAN EN LINEA CON LOS SUGERIDOS DEL CANAL? (REVISAR Y QUE SE VEA EN EL VIDEO)"/>
    <s v="SI"/>
    <m/>
    <n v="31379123"/>
    <s v="NestleP.1"/>
    <x v="0"/>
    <x v="4"/>
    <n v="5.333333333333333"/>
    <s v="SI"/>
    <n v="5.333333333333333"/>
    <n v="0"/>
    <m/>
  </r>
  <r>
    <s v="NESTLE PURINA"/>
    <x v="2"/>
    <x v="1"/>
    <s v="ESPECIALIZADO"/>
    <n v="555967"/>
    <x v="2"/>
    <s v="CE - EL PDV MANEJA SNACKS, ESTAMOS PRESENTES? (REVISAR Y QUE SE VEA EN EL VIDEO)"/>
    <s v="SI"/>
    <m/>
    <n v="31379123"/>
    <s v="NestleP.1"/>
    <x v="0"/>
    <x v="3"/>
    <n v="6.666666666666667"/>
    <s v="SI"/>
    <n v="6.666666666666667"/>
    <n v="0"/>
    <m/>
  </r>
  <r>
    <s v="NESTLE PURINA"/>
    <x v="1"/>
    <x v="1"/>
    <s v="ESPECIALIZADO"/>
    <n v="425892"/>
    <x v="1"/>
    <s v="TIENE TATUAJES O PIERCINGS VISIBLES QUE NO CUMPLE CON EL CODIGO DE VESTIMENTA"/>
    <s v=" NO"/>
    <m/>
    <n v="31389386"/>
    <s v="NestleP.5"/>
    <x v="0"/>
    <x v="1"/>
    <n v="1"/>
    <s v=" NO"/>
    <n v="1"/>
    <n v="0"/>
    <m/>
  </r>
  <r>
    <s v="NESTLE PURINA"/>
    <x v="1"/>
    <x v="1"/>
    <s v="ESPECIALIZADO"/>
    <n v="425892"/>
    <x v="1"/>
    <s v="TIENE UÑAS LLAMATIVAS Y/O LARGAS QUE NO CUMPLE CON EL CODIGO DE VESTIMENTA"/>
    <s v=" NO"/>
    <m/>
    <n v="31389386"/>
    <s v="NestleP.5"/>
    <x v="0"/>
    <x v="1"/>
    <n v="1"/>
    <s v=" NO"/>
    <n v="1"/>
    <n v="0"/>
    <m/>
  </r>
  <r>
    <s v="NESTLE PURINA"/>
    <x v="1"/>
    <x v="1"/>
    <s v="ESPECIALIZADO"/>
    <n v="425892"/>
    <x v="1"/>
    <s v="USA ACCESORIOS QUE NO CUMPLE CON EL CODIGO DE VESTIMENTA"/>
    <s v=" NO"/>
    <m/>
    <n v="31389386"/>
    <s v="NestleP.5"/>
    <x v="0"/>
    <x v="1"/>
    <n v="1"/>
    <s v=" NO"/>
    <n v="1"/>
    <n v="0"/>
    <m/>
  </r>
  <r>
    <s v="NESTLE PURINA"/>
    <x v="2"/>
    <x v="0"/>
    <s v="TRADICIONAL"/>
    <n v="103263"/>
    <x v="3"/>
    <s v="SE LOGRA REALIZAR LA AUDITORIA?"/>
    <s v=" NO"/>
    <m/>
    <n v="31465725"/>
    <s v="NestleP.1"/>
    <x v="1"/>
    <x v="0"/>
    <n v="0"/>
    <n v="0"/>
    <n v="0"/>
    <n v="0"/>
    <m/>
  </r>
  <r>
    <s v="NESTLE PURINA"/>
    <x v="1"/>
    <x v="1"/>
    <s v="ESPECIALIZADO"/>
    <n v="425892"/>
    <x v="1"/>
    <s v="INDIQUE OBSERVACIÓN/NOVEDAD"/>
    <s v="no se encuentran Snacks pero eso no puede afectar la calificación de la chica"/>
    <m/>
    <n v="31389386"/>
    <s v="NestleP.5"/>
    <x v="0"/>
    <x v="0"/>
    <n v="0"/>
    <n v="0"/>
    <n v="0"/>
    <n v="0"/>
    <m/>
  </r>
  <r>
    <s v="NESTLE PURINA"/>
    <x v="1"/>
    <x v="1"/>
    <s v="ESPECIALIZADO"/>
    <n v="425892"/>
    <x v="1"/>
    <s v="DESEA AÑADIR ALGUNA OBSERVACION / NOVEDAD CON LA AUDITORIA REALIZADA?"/>
    <s v=" NO"/>
    <m/>
    <n v="31389386"/>
    <s v="NestleP.5"/>
    <x v="0"/>
    <x v="0"/>
    <n v="0"/>
    <n v="0"/>
    <n v="0"/>
    <n v="0"/>
    <m/>
  </r>
  <r>
    <s v="NESTLE PURINA"/>
    <x v="1"/>
    <x v="1"/>
    <s v="ESPECIALIZADO"/>
    <n v="425892"/>
    <x v="1"/>
    <s v="CE - EL PDV MANEJA SNACKS, ESTAMOS PRESENTES? (REVISAR Y QUE SE VEA EN EL VIDEO)"/>
    <s v="SI"/>
    <m/>
    <n v="31389386"/>
    <s v="NestleP.5"/>
    <x v="0"/>
    <x v="3"/>
    <n v="6.666666666666667"/>
    <s v="SI"/>
    <n v="6.666666666666667"/>
    <n v="0"/>
    <m/>
  </r>
  <r>
    <s v="NESTLE PURINA"/>
    <x v="1"/>
    <x v="1"/>
    <s v="ESPECIALIZADO"/>
    <n v="425892"/>
    <x v="1"/>
    <s v="CE - SE ENCUENTRA LA REFERENCIA PRO PLAN WET DE SALMON Y/URINARIO"/>
    <s v="SI"/>
    <m/>
    <n v="31389386"/>
    <s v="NestleP.5"/>
    <x v="0"/>
    <x v="3"/>
    <n v="6.666666666666667"/>
    <s v="SI"/>
    <n v="6.666666666666667"/>
    <n v="0"/>
    <m/>
  </r>
  <r>
    <s v="NESTLE PURINA"/>
    <x v="1"/>
    <x v="1"/>
    <s v="ESPECIALIZADO"/>
    <n v="425892"/>
    <x v="1"/>
    <s v="CE - CUENTA CON LA PLANOMETRIA EN PDV (HORIZONTAL/VERTICAL) NO LADEADO?"/>
    <s v="SI"/>
    <m/>
    <n v="31389386"/>
    <s v="NestleP.5"/>
    <x v="0"/>
    <x v="3"/>
    <n v="6.666666666666667"/>
    <s v="SI"/>
    <n v="6.666666666666667"/>
    <n v="0"/>
    <m/>
  </r>
  <r>
    <s v="NESTLE PURINA"/>
    <x v="1"/>
    <x v="1"/>
    <s v="ESPECIALIZADO"/>
    <n v="425892"/>
    <x v="1"/>
    <s v="CE - SE ENCUENTRA LA NUEVA REFERENCIA DE EXCELLENT ESTIRILIZADO DE 1K?"/>
    <s v="SI"/>
    <m/>
    <n v="31389386"/>
    <s v="NestleP.5"/>
    <x v="0"/>
    <x v="3"/>
    <n v="6.666666666666667"/>
    <s v="SI"/>
    <n v="6.666666666666667"/>
    <n v="0"/>
    <m/>
  </r>
  <r>
    <s v="NESTLE PURINA"/>
    <x v="1"/>
    <x v="1"/>
    <s v="ESPECIALIZADO"/>
    <n v="425892"/>
    <x v="1"/>
    <s v="CE - SE ENCUENTRA EN EL LINEAL LAS REFERENCIAS 1,5 EN PU Y ADU DE LA MARCA EXCELLENT?"/>
    <s v="SI"/>
    <m/>
    <n v="31389386"/>
    <s v="NestleP.5"/>
    <x v="0"/>
    <x v="3"/>
    <n v="6.666666666666667"/>
    <s v="SI"/>
    <n v="6.666666666666667"/>
    <n v="0"/>
    <m/>
  </r>
  <r>
    <s v="NESTLE PURINA"/>
    <x v="1"/>
    <x v="1"/>
    <s v="ESPECIALIZADO"/>
    <n v="425892"/>
    <x v="1"/>
    <s v="CE - SE ENCUENTRAN LAS INNOVACIONES (RENOVACIÓN DE POCUHES PRO PLAN, &quot;FANCY 15 MARZO&quot; FELIX TRIPLE DELICIUS Y MEGAMIX, DOG CHOW POUCHES DE ALTA PROTEINA Y MULTIPROTEINA)"/>
    <s v="SI"/>
    <m/>
    <n v="31389386"/>
    <s v="NestleP.5"/>
    <x v="0"/>
    <x v="3"/>
    <n v="6.666666666666667"/>
    <s v="SI"/>
    <n v="6.666666666666667"/>
    <n v="0"/>
    <m/>
  </r>
  <r>
    <s v="NESTLE PURINA"/>
    <x v="1"/>
    <x v="1"/>
    <s v="ESPECIALIZADO"/>
    <n v="425892"/>
    <x v="1"/>
    <s v="SELECCIONE EL CANAL DEL PDV AUDITADO?"/>
    <s v=" ESPECIALIZADO"/>
    <m/>
    <n v="31389386"/>
    <s v="NestleP.5"/>
    <x v="0"/>
    <x v="0"/>
    <n v="0"/>
    <n v="0"/>
    <n v="0"/>
    <n v="0"/>
    <m/>
  </r>
  <r>
    <s v="NESTLE PURINA"/>
    <x v="1"/>
    <x v="1"/>
    <s v="ESPECIALIZADO"/>
    <n v="425892"/>
    <x v="1"/>
    <s v="CONOCE EL % DE PARTICIPACIÓN QUE TIENEN LAS MARCAS PURINA DENTRO DEL UNIVERSO?"/>
    <s v="SI"/>
    <m/>
    <n v="31389386"/>
    <s v="NestleP.5"/>
    <x v="0"/>
    <x v="4"/>
    <n v="0"/>
    <s v="SI"/>
    <n v="0"/>
    <n v="0"/>
    <m/>
  </r>
  <r>
    <s v="NESTLE PURINA"/>
    <x v="1"/>
    <x v="1"/>
    <s v="ESPECIALIZADO"/>
    <n v="425892"/>
    <x v="1"/>
    <s v="MANEJA MARCA DE PERROS, GATOS O AMBOS, Y HAY PRESENCIA DE LA COMPETENCIA? (EN EL VIDEO DEBE QUEDAR LA VISUAL DE LAS MARCAS DE LA COMPETENCIA PRESENTES EN EL PDV)"/>
    <s v="SI"/>
    <m/>
    <n v="31389386"/>
    <s v="NestleP.5"/>
    <x v="0"/>
    <x v="4"/>
    <n v="0"/>
    <s v="SI"/>
    <n v="0"/>
    <n v="0"/>
    <m/>
  </r>
  <r>
    <s v="NESTLE PURINA"/>
    <x v="1"/>
    <x v="1"/>
    <s v="ESPECIALIZADO"/>
    <n v="425892"/>
    <x v="1"/>
    <s v="LOS PRECIOS ESTAN EN LINEA CON LOS SUGERIDOS DEL CANAL? (REVISAR Y QUE SE VEA EN EL VIDEO)"/>
    <s v="SI"/>
    <m/>
    <n v="31389386"/>
    <s v="NestleP.5"/>
    <x v="0"/>
    <x v="4"/>
    <n v="5.333333333333333"/>
    <s v="SI"/>
    <n v="5.333333333333333"/>
    <n v="0"/>
    <m/>
  </r>
  <r>
    <s v="NESTLE PURINA"/>
    <x v="1"/>
    <x v="1"/>
    <s v="ESPECIALIZADO"/>
    <n v="425892"/>
    <x v="1"/>
    <s v="EL PDV CUENTA CON EXHIBICIONES ADICIONALES? (REVISAR Y QUE SE VEA EN EL VIDEO)"/>
    <s v="SI"/>
    <m/>
    <n v="31389386"/>
    <s v="NestleP.5"/>
    <x v="0"/>
    <x v="4"/>
    <n v="5.333333333333333"/>
    <s v="SI"/>
    <n v="5.333333333333333"/>
    <n v="0"/>
    <m/>
  </r>
  <r>
    <s v="NESTLE PURINA"/>
    <x v="1"/>
    <x v="1"/>
    <s v="ESPECIALIZADO"/>
    <n v="425892"/>
    <x v="1"/>
    <s v="CONOCE LOS INFALTABLES DE PRO PLAN (GATOS Y PERROS) ALIMENTO SECO"/>
    <s v="SI"/>
    <m/>
    <n v="31389386"/>
    <s v="NestleP.5"/>
    <x v="0"/>
    <x v="4"/>
    <n v="5.333333333333333"/>
    <s v="SI"/>
    <n v="5.333333333333333"/>
    <n v="0"/>
    <m/>
  </r>
  <r>
    <s v="NESTLE PURINA"/>
    <x v="1"/>
    <x v="1"/>
    <s v="ESPECIALIZADO"/>
    <n v="425892"/>
    <x v="1"/>
    <s v="CONOCE EL % DE PARTICIPACIÓN QUE TIENE EN EL PUNTO DE VENTA E INFORMA CUAL ES ESE % (REALIZAR EL EJERCICIO DE CONTAR LAS CARAS PARA VALIDAR SI ES CORRECTO)"/>
    <s v="SI"/>
    <m/>
    <n v="31389386"/>
    <s v="NestleP.5"/>
    <x v="0"/>
    <x v="4"/>
    <n v="0"/>
    <s v="SI"/>
    <n v="0"/>
    <n v="0"/>
    <m/>
  </r>
  <r>
    <s v="NESTLE PURINA"/>
    <x v="1"/>
    <x v="1"/>
    <s v="ESPECIALIZADO"/>
    <n v="425892"/>
    <x v="1"/>
    <s v="CONOCE Y TIENE SURTIDO DE ACUERDO A LA ESTRATEGIA DE EXHIBICIÓN (ETAPAS DE VIDA - SEGMENTACIÓN DE MARCAS)"/>
    <s v="SI"/>
    <m/>
    <n v="31389386"/>
    <s v="NestleP.5"/>
    <x v="0"/>
    <x v="4"/>
    <n v="2.7272727272727271"/>
    <s v="SI"/>
    <n v="2.7272727272727271"/>
    <n v="0"/>
    <m/>
  </r>
  <r>
    <s v="NESTLE PURINA"/>
    <x v="1"/>
    <x v="1"/>
    <s v="ESPECIALIZADO"/>
    <n v="425892"/>
    <x v="1"/>
    <s v="CONOCE LOS INFALTABLES DEL PUNTO DE VENTA Y CUENTA CON EL MATERIAL DE APOYO (AYUDAVENTAS INFALTABLES)"/>
    <s v="SI"/>
    <m/>
    <n v="31389386"/>
    <s v="NestleP.5"/>
    <x v="0"/>
    <x v="4"/>
    <n v="2.7272727272727271"/>
    <s v="SI"/>
    <n v="2.7272727272727271"/>
    <n v="0"/>
    <m/>
  </r>
  <r>
    <s v="NESTLE PURINA"/>
    <x v="1"/>
    <x v="1"/>
    <s v="ESPECIALIZADO"/>
    <n v="425892"/>
    <x v="1"/>
    <s v="LOS PRODUCTOS ESTAN SURTIDOS DE ACUERDO A PEPS O FIFO (REVISAR TANTO PRODUCTO SECO COMO HUMEDO)"/>
    <s v="SI"/>
    <m/>
    <n v="31389386"/>
    <s v="NestleP.5"/>
    <x v="0"/>
    <x v="4"/>
    <n v="2.7272727272727271"/>
    <s v="SI"/>
    <n v="2.7272727272727271"/>
    <n v="0"/>
    <m/>
  </r>
  <r>
    <s v="NESTLE PURINA"/>
    <x v="1"/>
    <x v="1"/>
    <s v="ESPECIALIZADO"/>
    <n v="425892"/>
    <x v="1"/>
    <s v="LOS PRODUCTOS TIENEN EL PRECIO Y ESTAN ACORDE O CORRESPONDIENTE A CADA REFERENCIA (REVISAR LA FECHA DE IMPRESIÓN DEL PRECIO)"/>
    <s v="SI"/>
    <m/>
    <n v="31389386"/>
    <s v="NestleP.5"/>
    <x v="0"/>
    <x v="4"/>
    <n v="2.7272727272727271"/>
    <s v="SI"/>
    <n v="2.7272727272727271"/>
    <n v="0"/>
    <m/>
  </r>
  <r>
    <s v="NESTLE PURINA"/>
    <x v="1"/>
    <x v="1"/>
    <s v="ESPECIALIZADO"/>
    <n v="425892"/>
    <x v="1"/>
    <s v="EL LINEAL SE ENCUENTRA LIMPIO Y ORGANIZADO (EVIDENCIA POLVO O TIERRA EN EL PRODUCTO Y/O LINEAL)"/>
    <s v="SI"/>
    <m/>
    <n v="31389386"/>
    <s v="NestleP.5"/>
    <x v="0"/>
    <x v="4"/>
    <n v="2.7272727272727271"/>
    <s v="SI"/>
    <n v="2.7272727272727271"/>
    <n v="0"/>
    <m/>
  </r>
  <r>
    <s v="NESTLE PURINA"/>
    <x v="2"/>
    <x v="1"/>
    <s v="ESPECIALIZADO"/>
    <n v="555967"/>
    <x v="2"/>
    <s v="EL PDV CUENTA CON EXHIBICIONES ADICIONALES? (REVISAR Y QUE SE VEA EN EL VIDEO)"/>
    <s v="SI"/>
    <m/>
    <n v="31379123"/>
    <s v="NestleP.1"/>
    <x v="0"/>
    <x v="4"/>
    <n v="5.333333333333333"/>
    <s v="SI"/>
    <n v="5.333333333333333"/>
    <n v="0"/>
    <m/>
  </r>
  <r>
    <s v="NESTLE PURINA"/>
    <x v="2"/>
    <x v="1"/>
    <s v="ESPECIALIZADO"/>
    <n v="555967"/>
    <x v="2"/>
    <s v="CONOCE LOS INFALTABLES DE PRO PLAN (GATOS Y PERROS) ALIMENTO SECO"/>
    <s v="SI"/>
    <m/>
    <n v="31379123"/>
    <s v="NestleP.1"/>
    <x v="0"/>
    <x v="4"/>
    <n v="5.333333333333333"/>
    <s v="SI"/>
    <n v="5.333333333333333"/>
    <n v="0"/>
    <m/>
  </r>
  <r>
    <s v="NESTLE PURINA"/>
    <x v="2"/>
    <x v="1"/>
    <s v="ESPECIALIZADO"/>
    <n v="555967"/>
    <x v="2"/>
    <s v="CONOCE EL % DE PARTICIPACIÓN QUE TIENE EN EL PUNTO DE VENTA E INFORMA CUAL ES ESE % (REALIZAR EL EJERCICIO DE CONTAR LAS CARAS PARA VALIDAR SI ES CORRECTO)"/>
    <s v="SI"/>
    <m/>
    <n v="31379123"/>
    <s v="NestleP.1"/>
    <x v="0"/>
    <x v="4"/>
    <n v="0"/>
    <s v="SI"/>
    <n v="0"/>
    <n v="0"/>
    <m/>
  </r>
  <r>
    <s v="NESTLE PURINA"/>
    <x v="2"/>
    <x v="1"/>
    <s v="ESPECIALIZADO"/>
    <n v="555967"/>
    <x v="2"/>
    <s v="CONOCE Y TIENE SURTIDO DE ACUERDO A LA ESTRATEGIA DE EXHIBICIÓN (ETAPAS DE VIDA - SEGMENTACIÓN DE MARCAS)"/>
    <s v="SI"/>
    <m/>
    <n v="31379123"/>
    <s v="NestleP.1"/>
    <x v="0"/>
    <x v="4"/>
    <n v="2.7272727272727271"/>
    <s v="SI"/>
    <n v="2.7272727272727271"/>
    <n v="0"/>
    <m/>
  </r>
  <r>
    <s v="NESTLE PURINA"/>
    <x v="0"/>
    <x v="0"/>
    <s v="TRADICIONAL"/>
    <n v="127058"/>
    <x v="0"/>
    <s v="MANEJA MARCA DE PERROS, GATOS O AMBOS, Y HAY PRESENCIA DE LA COMPETENCIA? (EN EL VIDEO DEBE QUEDAR LA VISUAL DE LAS MARCAS DE LA COMPETENCIA PRESENTES EN EL PDV)"/>
    <s v="SI"/>
    <m/>
    <n v="31364497"/>
    <s v="PREMISEUNP 51"/>
    <x v="0"/>
    <x v="4"/>
    <n v="8"/>
    <s v="SI"/>
    <n v="8"/>
    <n v="0"/>
    <m/>
  </r>
  <r>
    <s v="NESTLE PURINA"/>
    <x v="0"/>
    <x v="0"/>
    <s v="TRADICIONAL"/>
    <n v="127058"/>
    <x v="0"/>
    <s v="LOS PRECIOS ESTAN EN LINEA CON LOS SUGERIDOS DEL CANAL? (REVISAR Y QUE SE VEA EN EL VIDEO)"/>
    <s v="SI"/>
    <m/>
    <n v="31364497"/>
    <s v="PREMISEUNP 51"/>
    <x v="0"/>
    <x v="4"/>
    <n v="0"/>
    <s v="SI"/>
    <n v="0"/>
    <n v="0"/>
    <m/>
  </r>
  <r>
    <s v="NESTLE PURINA"/>
    <x v="0"/>
    <x v="0"/>
    <s v="TRADICIONAL"/>
    <n v="127058"/>
    <x v="0"/>
    <s v="EL PDV CUENTA CON EXHIBICIONES ADICIONALES? (REVISAR Y QUE SE VEA EN EL VIDEO)"/>
    <s v="SI"/>
    <m/>
    <n v="31364497"/>
    <s v="PREMISEUNP 51"/>
    <x v="0"/>
    <x v="4"/>
    <n v="0"/>
    <s v="SI"/>
    <n v="0"/>
    <n v="0"/>
    <m/>
  </r>
  <r>
    <s v="NESTLE PURINA"/>
    <x v="0"/>
    <x v="0"/>
    <s v="TRADICIONAL"/>
    <n v="127058"/>
    <x v="0"/>
    <s v="CONOCE LOS INFALTABLES DE PRO PLAN (GATOS Y PERROS) ALIMENTO SECO"/>
    <s v="SI"/>
    <m/>
    <n v="31364497"/>
    <s v="PREMISEUNP 51"/>
    <x v="0"/>
    <x v="4"/>
    <n v="0"/>
    <s v="SI"/>
    <n v="0"/>
    <n v="0"/>
    <m/>
  </r>
  <r>
    <s v="NESTLE PURINA"/>
    <x v="0"/>
    <x v="0"/>
    <s v="TRADICIONAL"/>
    <n v="127058"/>
    <x v="0"/>
    <s v="CONOCE EL % DE PARTICIPACIÓN QUE TIENE EN EL PUNTO DE VENTA E INFORMA CUAL ES ESE % (REALIZAR EL EJERCICIO DE CONTAR LAS CARAS PARA VALIDAR SI ES CORRECTO)"/>
    <s v="SI"/>
    <m/>
    <n v="31364497"/>
    <s v="PREMISEUNP 51"/>
    <x v="0"/>
    <x v="4"/>
    <n v="0"/>
    <s v="SI"/>
    <n v="0"/>
    <n v="0"/>
    <m/>
  </r>
  <r>
    <s v="NESTLE PURINA"/>
    <x v="0"/>
    <x v="0"/>
    <s v="TRADICIONAL"/>
    <n v="127058"/>
    <x v="0"/>
    <s v="CONOCE Y TIENE SURTIDO DE ACUERDO A LA ESTRATEGIA DE EXHIBICIÓN (ETAPAS DE VIDA - SEGMENTACIÓN DE MARCAS)"/>
    <s v="SI"/>
    <m/>
    <n v="31364497"/>
    <s v="PREMISEUNP 51"/>
    <x v="0"/>
    <x v="4"/>
    <n v="2.7272727272727271"/>
    <s v="SI"/>
    <n v="2.7272727272727271"/>
    <n v="0"/>
    <m/>
  </r>
  <r>
    <s v="NESTLE PURINA"/>
    <x v="0"/>
    <x v="0"/>
    <s v="TRADICIONAL"/>
    <n v="127058"/>
    <x v="0"/>
    <s v="CONOCE LOS INFALTABLES DEL PUNTO DE VENTA Y CUENTA CON EL MATERIAL DE APOYO (AYUDAVENTAS INFALTABLES)"/>
    <s v="SI"/>
    <m/>
    <n v="31364497"/>
    <s v="PREMISEUNP 51"/>
    <x v="0"/>
    <x v="4"/>
    <n v="2.7272727272727271"/>
    <s v="SI"/>
    <n v="2.7272727272727271"/>
    <n v="0"/>
    <m/>
  </r>
  <r>
    <s v="NESTLE PURINA"/>
    <x v="0"/>
    <x v="0"/>
    <s v="TRADICIONAL"/>
    <n v="127058"/>
    <x v="0"/>
    <s v="LOS PRODUCTOS ESTAN SURTIDOS DE ACUERDO A PEPS O FIFO (REVISAR TANTO PRODUCTO SECO COMO HUMEDO)"/>
    <s v="SI"/>
    <m/>
    <n v="31364497"/>
    <s v="PREMISEUNP 51"/>
    <x v="0"/>
    <x v="4"/>
    <n v="2.7272727272727271"/>
    <s v="SI"/>
    <n v="2.7272727272727271"/>
    <n v="0"/>
    <m/>
  </r>
  <r>
    <s v="NESTLE PURINA"/>
    <x v="0"/>
    <x v="0"/>
    <s v="TRADICIONAL"/>
    <n v="127058"/>
    <x v="0"/>
    <s v="LOS PRODUCTOS TIENEN EL PRECIO Y ESTAN ACORDE O CORRESPONDIENTE A CADA REFERENCIA (REVISAR LA FECHA DE IMPRESIÓN DEL PRECIO)"/>
    <s v="SI"/>
    <m/>
    <n v="31364497"/>
    <s v="PREMISEUNP 51"/>
    <x v="0"/>
    <x v="4"/>
    <n v="2.7272727272727271"/>
    <s v="SI"/>
    <n v="2.7272727272727271"/>
    <n v="0"/>
    <m/>
  </r>
  <r>
    <s v="NESTLE PURINA"/>
    <x v="0"/>
    <x v="0"/>
    <s v="TRADICIONAL"/>
    <n v="127058"/>
    <x v="0"/>
    <s v="EL LINEAL SE ENCUENTRA LIMPIO Y ORGANIZADO (EVIDENCIA POLVO O TIERRA EN EL PRODUCTO Y/O LINEAL)"/>
    <s v="SI"/>
    <m/>
    <n v="31364497"/>
    <s v="PREMISEUNP 51"/>
    <x v="0"/>
    <x v="4"/>
    <n v="2.7272727272727271"/>
    <s v="SI"/>
    <n v="2.7272727272727271"/>
    <n v="0"/>
    <m/>
  </r>
  <r>
    <s v="NESTLE PURINA"/>
    <x v="0"/>
    <x v="0"/>
    <s v="TRADICIONAL"/>
    <n v="127058"/>
    <x v="0"/>
    <s v="USA ACCESORIOS QUE NO CUMPLE CON EL CODIGO DE VESTIMENTA"/>
    <s v=" NO"/>
    <m/>
    <n v="31364497"/>
    <s v="PREMISEUNP 51"/>
    <x v="0"/>
    <x v="1"/>
    <n v="1"/>
    <s v=" NO"/>
    <n v="1"/>
    <n v="0"/>
    <m/>
  </r>
  <r>
    <s v="NESTLE PURINA"/>
    <x v="0"/>
    <x v="0"/>
    <s v="TRADICIONAL"/>
    <n v="127058"/>
    <x v="0"/>
    <s v="TIENE UÑAS LLAMATIVAS Y/O LARGAS QUE NO CUMPLE CON EL CODIGO DE VESTIMENTA"/>
    <s v=" NO"/>
    <m/>
    <n v="31364497"/>
    <s v="PREMISEUNP 51"/>
    <x v="0"/>
    <x v="1"/>
    <n v="1"/>
    <s v=" NO"/>
    <n v="1"/>
    <n v="0"/>
    <m/>
  </r>
  <r>
    <s v="NESTLE PURINA"/>
    <x v="0"/>
    <x v="0"/>
    <s v="TRADICIONAL"/>
    <n v="127058"/>
    <x v="0"/>
    <s v="TIENE TATUAJES O PIERCINGS VISIBLES QUE NO CUMPLE CON EL CODIGO DE VESTIMENTA"/>
    <s v=" NO"/>
    <m/>
    <n v="31364497"/>
    <s v="PREMISEUNP 51"/>
    <x v="0"/>
    <x v="1"/>
    <n v="1"/>
    <s v=" NO"/>
    <n v="1"/>
    <n v="0"/>
    <m/>
  </r>
  <r>
    <s v="NESTLE PURINA"/>
    <x v="0"/>
    <x v="0"/>
    <s v="TRADICIONAL"/>
    <n v="127058"/>
    <x v="0"/>
    <s v="PRESENTA EXCESO DE MAQUILLAJE QUE NO CUMPLE CON EL CODIGO DE VESTIMENTA"/>
    <s v=" NO"/>
    <m/>
    <n v="31364497"/>
    <s v="PREMISEUNP 51"/>
    <x v="0"/>
    <x v="1"/>
    <n v="1"/>
    <s v=" NO"/>
    <n v="1"/>
    <n v="0"/>
    <m/>
  </r>
  <r>
    <s v="NESTLE PURINA"/>
    <x v="0"/>
    <x v="0"/>
    <s v="TRADICIONAL"/>
    <n v="127058"/>
    <x v="0"/>
    <s v="SU CABELLO LUCE LIMPIO, ORGANIZADO O RECOGIDO"/>
    <s v="SI"/>
    <m/>
    <n v="31364497"/>
    <s v="PREMISEUNP 51"/>
    <x v="0"/>
    <x v="1"/>
    <n v="1"/>
    <s v="SI"/>
    <n v="1"/>
    <n v="0"/>
    <m/>
  </r>
  <r>
    <s v="NESTLE PURINA"/>
    <x v="0"/>
    <x v="0"/>
    <s v="TRADICIONAL"/>
    <n v="127058"/>
    <x v="0"/>
    <s v="EL UNIFORME Y ZAPATOS SE ENCUENTRAN LIMPIOS Y EN BUEN ESTADO"/>
    <s v="SI"/>
    <m/>
    <n v="31364497"/>
    <s v="PREMISEUNP 51"/>
    <x v="0"/>
    <x v="1"/>
    <n v="1"/>
    <s v="SI"/>
    <n v="1"/>
    <n v="0"/>
    <m/>
  </r>
  <r>
    <s v="NESTLE PURINA"/>
    <x v="0"/>
    <x v="0"/>
    <s v="TRADICIONAL"/>
    <n v="127058"/>
    <x v="0"/>
    <s v="POSEE ALGUNA PRENDA ENCIMA DEL UNIFORME NO AUTORIZADA POR LA MARCA (UNICAMENTE ESTA PERMITIDO CHALECO DE SODIMAC Y EASY)"/>
    <s v=" NO"/>
    <m/>
    <n v="31364497"/>
    <s v="PREMISEUNP 51"/>
    <x v="0"/>
    <x v="1"/>
    <n v="1"/>
    <s v=" NO"/>
    <n v="1"/>
    <n v="0"/>
    <m/>
  </r>
  <r>
    <s v="NESTLE PURINA"/>
    <x v="0"/>
    <x v="0"/>
    <s v="TRADICIONAL"/>
    <n v="127058"/>
    <x v="0"/>
    <s v="CUENTA CON CALZADO DE ACUERDO AL UNIFORME"/>
    <s v="SI"/>
    <m/>
    <n v="31364497"/>
    <s v="PREMISEUNP 51"/>
    <x v="0"/>
    <x v="1"/>
    <n v="1"/>
    <s v="SI"/>
    <n v="1"/>
    <n v="0"/>
    <m/>
  </r>
  <r>
    <s v="NESTLE PURINA"/>
    <x v="0"/>
    <x v="0"/>
    <s v="TRADICIONAL"/>
    <n v="127058"/>
    <x v="0"/>
    <s v="CUENTA CON CAMISA DEL UNIFORME Y LOGOS SEGÚN EL CARGO (NEGRA / GRIS / ROJA / TURQUESA) (ES PERMITIDO USAR DEBAJO DE LA CAMISA BUSO MANGA LARGA NEGRO)"/>
    <s v="SI"/>
    <m/>
    <n v="31364497"/>
    <s v="PREMISEUNP 51"/>
    <x v="0"/>
    <x v="1"/>
    <n v="1"/>
    <s v="SI"/>
    <n v="1"/>
    <n v="0"/>
    <m/>
  </r>
  <r>
    <s v="NESTLE PURINA"/>
    <x v="0"/>
    <x v="0"/>
    <s v="TRADICIONAL"/>
    <n v="127058"/>
    <x v="0"/>
    <s v="CUENTA CON PANTALON DEL UNIFORME SEGÚN EL CARGO (NEGRO / ROJO / TURQUESA / JEAN)"/>
    <s v="SI"/>
    <m/>
    <n v="31364497"/>
    <s v="PREMISEUNP 51"/>
    <x v="0"/>
    <x v="1"/>
    <n v="1"/>
    <s v="SI"/>
    <n v="1"/>
    <n v="0"/>
    <m/>
  </r>
  <r>
    <s v="NESTLE PURINA"/>
    <x v="0"/>
    <x v="0"/>
    <s v="TRADICIONAL"/>
    <n v="127058"/>
    <x v="0"/>
    <s v="¿CUMPLE HORARIO DE ENTRADA O SALIDA DE LA TIENDA?"/>
    <s v="SI"/>
    <m/>
    <n v="31364497"/>
    <s v="PREMISEUNP 51"/>
    <x v="0"/>
    <x v="2"/>
    <n v="20"/>
    <s v="SI"/>
    <n v="20"/>
    <n v="0"/>
    <m/>
  </r>
  <r>
    <s v="NESTLE PURINA"/>
    <x v="0"/>
    <x v="0"/>
    <s v="TRADICIONAL"/>
    <n v="127058"/>
    <x v="0"/>
    <s v="CONOCE EL % DE PARTICIPACIÓN QUE TIENEN LAS MARCAS PURINA DENTRO DEL UNIVERSO?"/>
    <s v="SI"/>
    <m/>
    <n v="31364497"/>
    <s v="PREMISEUNP 51"/>
    <x v="0"/>
    <x v="4"/>
    <n v="8"/>
    <s v="SI"/>
    <n v="8"/>
    <n v="0"/>
    <m/>
  </r>
  <r>
    <s v="NESTLE PURINA"/>
    <x v="2"/>
    <x v="0"/>
    <s v="TRADICIONAL"/>
    <n v="103263"/>
    <x v="3"/>
    <s v="DESEA AÑADIR ALGUNA OBSERVACION / NOVEDAD CON LA AUDITORIA REALIZADA?"/>
    <s v="SI"/>
    <m/>
    <n v="31465725"/>
    <s v="NestleP.1"/>
    <x v="1"/>
    <x v="0"/>
    <n v="0"/>
    <n v="0"/>
    <n v="0"/>
    <n v="0"/>
    <m/>
  </r>
  <r>
    <s v="NESTLE PURINA"/>
    <x v="0"/>
    <x v="0"/>
    <s v="TRADICIONAL"/>
    <n v="127058"/>
    <x v="0"/>
    <s v="SELECCIONE EL CANAL DEL PDV AUDITADO?"/>
    <s v=" TRADICIONAL"/>
    <m/>
    <n v="31364497"/>
    <s v="PREMISEUNP 51"/>
    <x v="0"/>
    <x v="0"/>
    <n v="0"/>
    <n v="0"/>
    <n v="0"/>
    <n v="0"/>
    <m/>
  </r>
  <r>
    <s v="NESTLE PURINA"/>
    <x v="0"/>
    <x v="0"/>
    <s v="TRADICIONAL"/>
    <n v="127058"/>
    <x v="0"/>
    <s v="CT - CONOCE LAS INNOVACIONES  ALTA PROTEINA? ESTÁ DISPONIBLE EN PDV?"/>
    <s v="SI"/>
    <m/>
    <n v="31364497"/>
    <s v="PREMISEUNP 51"/>
    <x v="0"/>
    <x v="3"/>
    <n v="8"/>
    <s v="SI"/>
    <n v="8"/>
    <n v="0"/>
    <m/>
  </r>
  <r>
    <s v="NESTLE PURINA"/>
    <x v="2"/>
    <x v="1"/>
    <s v="ESPECIALIZADO"/>
    <n v="555967"/>
    <x v="2"/>
    <s v="CONOCE LOS INFALTABLES DEL PUNTO DE VENTA Y CUENTA CON EL MATERIAL DE APOYO (AYUDAVENTAS INFALTABLES)"/>
    <s v="SI"/>
    <m/>
    <n v="31379123"/>
    <s v="NestleP.1"/>
    <x v="0"/>
    <x v="4"/>
    <n v="2.7272727272727271"/>
    <s v="SI"/>
    <n v="2.7272727272727271"/>
    <n v="0"/>
    <m/>
  </r>
  <r>
    <s v="NESTLE PURINA"/>
    <x v="2"/>
    <x v="1"/>
    <s v="ESPECIALIZADO"/>
    <n v="555967"/>
    <x v="2"/>
    <s v="LOS PRODUCTOS ESTAN SURTIDOS DE ACUERDO A PEPS O FIFO (REVISAR TANTO PRODUCTO SECO COMO HUMEDO)"/>
    <s v="SI"/>
    <m/>
    <n v="31379123"/>
    <s v="NestleP.1"/>
    <x v="0"/>
    <x v="4"/>
    <n v="2.7272727272727271"/>
    <s v="SI"/>
    <n v="2.7272727272727271"/>
    <n v="0"/>
    <m/>
  </r>
  <r>
    <s v="NESTLE PURINA"/>
    <x v="2"/>
    <x v="1"/>
    <s v="ESPECIALIZADO"/>
    <n v="555967"/>
    <x v="2"/>
    <s v="LOS PRODUCTOS TIENEN EL PRECIO Y ESTAN ACORDE O CORRESPONDIENTE A CADA REFERENCIA (REVISAR LA FECHA DE IMPRESIÓN DEL PRECIO)"/>
    <s v="SI"/>
    <m/>
    <n v="31379123"/>
    <s v="NestleP.1"/>
    <x v="0"/>
    <x v="4"/>
    <n v="2.7272727272727271"/>
    <s v="SI"/>
    <n v="2.7272727272727271"/>
    <n v="0"/>
    <m/>
  </r>
  <r>
    <s v="NESTLE PURINA"/>
    <x v="2"/>
    <x v="1"/>
    <s v="ESPECIALIZADO"/>
    <n v="555967"/>
    <x v="2"/>
    <s v="EL LINEAL SE ENCUENTRA LIMPIO Y ORGANIZADO (EVIDENCIA POLVO O TIERRA EN EL PRODUCTO Y/O LINEAL)"/>
    <s v="SI"/>
    <m/>
    <n v="31379123"/>
    <s v="NestleP.1"/>
    <x v="0"/>
    <x v="4"/>
    <n v="2.7272727272727271"/>
    <s v="SI"/>
    <n v="2.7272727272727271"/>
    <n v="0"/>
    <m/>
  </r>
  <r>
    <s v="NESTLE PURINA"/>
    <x v="2"/>
    <x v="1"/>
    <s v="ESPECIALIZADO"/>
    <n v="555967"/>
    <x v="2"/>
    <s v="USA ACCESORIOS QUE NO CUMPLE CON EL CODIGO DE VESTIMENTA"/>
    <s v=" NO"/>
    <m/>
    <n v="31379123"/>
    <s v="NestleP.1"/>
    <x v="0"/>
    <x v="1"/>
    <n v="1"/>
    <s v=" NO"/>
    <n v="1"/>
    <n v="0"/>
    <m/>
  </r>
  <r>
    <s v="NESTLE PURINA"/>
    <x v="2"/>
    <x v="1"/>
    <s v="ESPECIALIZADO"/>
    <n v="555967"/>
    <x v="2"/>
    <s v="TIENE UÑAS LLAMATIVAS Y/O LARGAS QUE NO CUMPLE CON EL CODIGO DE VESTIMENTA"/>
    <s v=" NO"/>
    <m/>
    <n v="31379123"/>
    <s v="NestleP.1"/>
    <x v="0"/>
    <x v="1"/>
    <n v="1"/>
    <s v=" NO"/>
    <n v="1"/>
    <n v="0"/>
    <m/>
  </r>
  <r>
    <s v="NESTLE PURINA"/>
    <x v="2"/>
    <x v="1"/>
    <s v="ESPECIALIZADO"/>
    <n v="555967"/>
    <x v="2"/>
    <s v="TIENE TATUAJES O PIERCINGS VISIBLES QUE NO CUMPLE CON EL CODIGO DE VESTIMENTA"/>
    <s v=" NO"/>
    <m/>
    <n v="31379123"/>
    <s v="NestleP.1"/>
    <x v="0"/>
    <x v="1"/>
    <n v="1"/>
    <s v=" NO"/>
    <n v="1"/>
    <n v="0"/>
    <m/>
  </r>
  <r>
    <s v="NESTLE PURINA"/>
    <x v="2"/>
    <x v="1"/>
    <s v="ESPECIALIZADO"/>
    <n v="555967"/>
    <x v="2"/>
    <s v="PRESENTA EXCESO DE MAQUILLAJE QUE NO CUMPLE CON EL CODIGO DE VESTIMENTA"/>
    <s v=" NO"/>
    <m/>
    <n v="31379123"/>
    <s v="NestleP.1"/>
    <x v="0"/>
    <x v="1"/>
    <n v="1"/>
    <s v=" NO"/>
    <n v="1"/>
    <n v="0"/>
    <m/>
  </r>
  <r>
    <s v="NESTLE PURINA"/>
    <x v="2"/>
    <x v="1"/>
    <s v="ESPECIALIZADO"/>
    <n v="555967"/>
    <x v="2"/>
    <s v="SU CABELLO LUCE LIMPIO, ORGANIZADO O RECOGIDO"/>
    <s v="SI"/>
    <m/>
    <n v="31379123"/>
    <s v="NestleP.1"/>
    <x v="0"/>
    <x v="1"/>
    <n v="1"/>
    <s v="SI"/>
    <n v="1"/>
    <n v="0"/>
    <m/>
  </r>
  <r>
    <s v="NESTLE PURINA"/>
    <x v="2"/>
    <x v="1"/>
    <s v="ESPECIALIZADO"/>
    <n v="555967"/>
    <x v="2"/>
    <s v="EL UNIFORME Y ZAPATOS SE ENCUENTRAN LIMPIOS Y EN BUEN ESTADO"/>
    <s v="SI"/>
    <m/>
    <n v="31379123"/>
    <s v="NestleP.1"/>
    <x v="0"/>
    <x v="1"/>
    <n v="1"/>
    <s v="SI"/>
    <n v="1"/>
    <n v="0"/>
    <m/>
  </r>
  <r>
    <s v="NESTLE PURINA"/>
    <x v="2"/>
    <x v="1"/>
    <s v="ESPECIALIZADO"/>
    <n v="555967"/>
    <x v="2"/>
    <s v="POSEE ALGUNA PRENDA ENCIMA DEL UNIFORME NO AUTORIZADA POR LA MARCA (UNICAMENTE ESTA PERMITIDO CHALECO DE SODIMAC Y EASY)"/>
    <s v=" NO"/>
    <m/>
    <n v="31379123"/>
    <s v="NestleP.1"/>
    <x v="0"/>
    <x v="1"/>
    <n v="1"/>
    <s v=" NO"/>
    <n v="1"/>
    <n v="0"/>
    <m/>
  </r>
  <r>
    <s v="NESTLE PURINA"/>
    <x v="2"/>
    <x v="1"/>
    <s v="ESPECIALIZADO"/>
    <n v="555967"/>
    <x v="2"/>
    <s v="CUENTA CON CALZADO DE ACUERDO AL UNIFORME"/>
    <s v="SI"/>
    <m/>
    <n v="31379123"/>
    <s v="NestleP.1"/>
    <x v="0"/>
    <x v="1"/>
    <n v="1"/>
    <s v="SI"/>
    <n v="1"/>
    <n v="0"/>
    <m/>
  </r>
  <r>
    <s v="NESTLE PURINA"/>
    <x v="2"/>
    <x v="1"/>
    <s v="ESPECIALIZADO"/>
    <n v="555967"/>
    <x v="2"/>
    <s v="CUENTA CON CAMISA DEL UNIFORME Y LOGOS SEGÚN EL CARGO (NEGRA / GRIS / ROJA / TURQUESA) (ES PERMITIDO USAR DEBAJO DE LA CAMISA BUSO MANGA LARGA NEGRO)"/>
    <s v="SI"/>
    <m/>
    <n v="31379123"/>
    <s v="NestleP.1"/>
    <x v="0"/>
    <x v="1"/>
    <n v="1"/>
    <s v="SI"/>
    <n v="1"/>
    <n v="0"/>
    <m/>
  </r>
  <r>
    <s v="NESTLE PURINA"/>
    <x v="2"/>
    <x v="1"/>
    <s v="ESPECIALIZADO"/>
    <n v="555967"/>
    <x v="2"/>
    <s v="CUENTA CON PANTALON DEL UNIFORME SEGÚN EL CARGO (NEGRO / ROJO / TURQUESA / JEAN)"/>
    <s v="SI"/>
    <m/>
    <n v="31379123"/>
    <s v="NestleP.1"/>
    <x v="0"/>
    <x v="1"/>
    <n v="1"/>
    <s v="SI"/>
    <n v="1"/>
    <n v="0"/>
    <m/>
  </r>
  <r>
    <s v="NESTLE PURINA"/>
    <x v="2"/>
    <x v="1"/>
    <s v="ESPECIALIZADO"/>
    <n v="555967"/>
    <x v="2"/>
    <s v="¿CUMPLE HORARIO DE ENTRADA O SALIDA DE LA TIENDA?"/>
    <s v="SI"/>
    <m/>
    <n v="31379123"/>
    <s v="NestleP.1"/>
    <x v="0"/>
    <x v="2"/>
    <n v="20"/>
    <s v="SI"/>
    <n v="20"/>
    <n v="0"/>
    <m/>
  </r>
  <r>
    <s v="NESTLE PURINA"/>
    <x v="2"/>
    <x v="1"/>
    <s v="ESPECIALIZADO"/>
    <n v="555967"/>
    <x v="2"/>
    <s v="SE LOGRA REALIZAR LA AUDITORIA?"/>
    <s v="SI"/>
    <m/>
    <n v="31379123"/>
    <s v="NestleP.1"/>
    <x v="0"/>
    <x v="0"/>
    <n v="0"/>
    <n v="0"/>
    <n v="0"/>
    <n v="0"/>
    <m/>
  </r>
  <r>
    <s v="NESTLE PURINA"/>
    <x v="0"/>
    <x v="0"/>
    <s v="TRADICIONAL"/>
    <n v="127058"/>
    <x v="0"/>
    <s v="INDIQUE OBSERVACIÓN/NOVEDAD"/>
    <s v="ninguna"/>
    <m/>
    <n v="31364497"/>
    <s v="PREMISEUNP 51"/>
    <x v="0"/>
    <x v="0"/>
    <n v="0"/>
    <n v="0"/>
    <n v="0"/>
    <n v="0"/>
    <m/>
  </r>
  <r>
    <s v="NESTLE PURINA"/>
    <x v="0"/>
    <x v="0"/>
    <s v="TRADICIONAL"/>
    <n v="127058"/>
    <x v="0"/>
    <s v="DESEA AÑADIR ALGUNA OBSERVACION / NOVEDAD CON LA AUDITORIA REALIZADA?"/>
    <s v=" NO"/>
    <m/>
    <n v="31364497"/>
    <s v="PREMISEUNP 51"/>
    <x v="0"/>
    <x v="0"/>
    <n v="0"/>
    <n v="0"/>
    <n v="0"/>
    <n v="0"/>
    <m/>
  </r>
  <r>
    <s v="NESTLE PURINA"/>
    <x v="0"/>
    <x v="0"/>
    <s v="TRADICIONAL"/>
    <n v="127058"/>
    <x v="0"/>
    <s v="CT - LOS PRECIOS DE LAS REFERENCIAS DOG CHOW ESTAN ALINEADOS A LA NUEVA ESTRATEGIA?"/>
    <s v="SI"/>
    <m/>
    <n v="31364497"/>
    <s v="PREMISEUNP 51"/>
    <x v="0"/>
    <x v="3"/>
    <n v="8"/>
    <s v="SI"/>
    <n v="8"/>
    <n v="0"/>
    <m/>
  </r>
  <r>
    <s v="NESTLE PURINA"/>
    <x v="0"/>
    <x v="0"/>
    <s v="TRADICIONAL"/>
    <n v="127058"/>
    <x v="0"/>
    <s v="CT - CONOCE LAS INNOVACIONES - NUTRICION REFORZADA DE WET? ESTA DISPONIBLE EN PDV?"/>
    <s v="SI"/>
    <m/>
    <n v="31364497"/>
    <s v="PREMISEUNP 51"/>
    <x v="0"/>
    <x v="3"/>
    <n v="8"/>
    <s v="SI"/>
    <n v="8"/>
    <n v="0"/>
    <m/>
  </r>
  <r>
    <s v="NESTLE PURINA"/>
    <x v="0"/>
    <x v="0"/>
    <s v="TRADICIONAL"/>
    <n v="127058"/>
    <x v="0"/>
    <s v="CT - CONOCE LAS INNOVACIONES - RISTRAS WET? ESTA DISPONIBLE EN PDV?"/>
    <s v="SI"/>
    <m/>
    <n v="31364497"/>
    <s v="PREMISEUNP 51"/>
    <x v="0"/>
    <x v="3"/>
    <n v="8"/>
    <s v="SI"/>
    <n v="8"/>
    <n v="0"/>
    <m/>
  </r>
  <r>
    <s v="NESTLE PURINA"/>
    <x v="0"/>
    <x v="0"/>
    <s v="TRADICIONAL"/>
    <n v="127058"/>
    <x v="0"/>
    <s v="CT - CONOCE EL PRECIO DE LA PAQUETERIA (DOG CHOW 350G / 475G; CAT CHOW 200G? (Si el mercaderista informa que el PDV no lo permite implementar quedaria como N/A)"/>
    <s v="SI"/>
    <m/>
    <n v="31364497"/>
    <s v="PREMISEUNP 51"/>
    <x v="0"/>
    <x v="3"/>
    <n v="8"/>
    <s v="SI"/>
    <n v="8"/>
    <n v="0"/>
    <m/>
  </r>
  <r>
    <s v="NESTLE PURINA"/>
    <x v="2"/>
    <x v="0"/>
    <s v="TRADICIONAL"/>
    <n v="103263"/>
    <x v="3"/>
    <s v="INDIQUE OBSERVACIÓN/NOVEDAD"/>
    <s v="El asesor o asesora no se encuentra en el punto de venta; se espero hasta pasadas las 8 am pero no se presentó, indican que se encuentra en incapacidad."/>
    <m/>
    <n v="31465725"/>
    <s v="NestleP.1"/>
    <x v="1"/>
    <x v="0"/>
    <n v="0"/>
    <n v="0"/>
    <n v="0"/>
    <n v="0"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s v="TRADICIONAL"/>
    <x v="0"/>
    <n v="103263"/>
    <s v="AUTOSERVICIO AHORRAMAS"/>
    <n v="1"/>
    <n v="1"/>
    <n v="1"/>
    <n v="1"/>
    <n v="0"/>
  </r>
  <r>
    <s v="ESPECIALIZADO"/>
    <x v="0"/>
    <n v="555967"/>
    <s v="LAIKA USAQUEN"/>
    <n v="1"/>
    <n v="1"/>
    <n v="1"/>
    <n v="1"/>
    <n v="1"/>
  </r>
  <r>
    <s v="TRADICIONAL"/>
    <x v="1"/>
    <n v="127058"/>
    <s v="AHORRAMAS PASOANCHO"/>
    <n v="1"/>
    <n v="1"/>
    <n v="1"/>
    <n v="1"/>
    <n v="1"/>
  </r>
  <r>
    <s v="ESPECIALIZADO"/>
    <x v="2"/>
    <n v="425892"/>
    <s v="425892 - UNIMED"/>
    <n v="1"/>
    <n v="1"/>
    <n v="1"/>
    <n v="1"/>
    <n v="1"/>
  </r>
  <r>
    <s v="TRADICIONAL"/>
    <x v="3"/>
    <n v="152026"/>
    <s v="SUPERMERCADO LA 13"/>
    <n v="1"/>
    <n v="1"/>
    <n v="0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E031FF4-9FC5-4CE5-9C4A-4C9C0C5884C6}" name="TablaDinámica11" cacheId="86" applyNumberFormats="0" applyBorderFormats="0" applyFontFormats="0" applyPatternFormats="0" applyAlignmentFormats="0" applyWidthHeightFormats="1" dataCaption="Valores" grandTotalCaption="% MYSTERY" errorCaption="0" showError="1" updatedVersion="8" minRefreshableVersion="3" itemPrintTitles="1" createdVersion="8" indent="0" outline="1" outlineData="1" multipleFieldFilters="0" chartFormat="34" rowHeaderCaption="CLUSTER">
  <location ref="D16:G22" firstHeaderRow="1" firstDataRow="2" firstDataCol="1"/>
  <pivotFields count="19">
    <pivotField showAll="0"/>
    <pivotField showAll="0">
      <items count="13">
        <item m="1" x="8"/>
        <item x="1"/>
        <item x="2"/>
        <item m="1" x="9"/>
        <item x="0"/>
        <item m="1" x="3"/>
        <item m="1" x="4"/>
        <item m="1" x="7"/>
        <item m="1" x="11"/>
        <item m="1" x="5"/>
        <item m="1" x="6"/>
        <item m="1" x="10"/>
        <item t="default"/>
      </items>
    </pivotField>
    <pivotField axis="axisCol" showAll="0">
      <items count="4">
        <item h="1" m="1" x="2"/>
        <item x="0"/>
        <item x="1"/>
        <item t="default"/>
      </items>
    </pivotField>
    <pivotField showAll="0"/>
    <pivotField showAll="0"/>
    <pivotField showAll="0">
      <items count="155">
        <item m="1" x="66"/>
        <item m="1" x="58"/>
        <item m="1" x="23"/>
        <item m="1" x="22"/>
        <item m="1" x="34"/>
        <item m="1" x="17"/>
        <item m="1" x="78"/>
        <item m="1" x="71"/>
        <item m="1" x="131"/>
        <item m="1" x="130"/>
        <item m="1" x="64"/>
        <item m="1" x="68"/>
        <item m="1" x="65"/>
        <item m="1" x="121"/>
        <item m="1" x="83"/>
        <item m="1" x="75"/>
        <item m="1" x="72"/>
        <item m="1" x="77"/>
        <item m="1" x="51"/>
        <item m="1" x="44"/>
        <item m="1" x="35"/>
        <item m="1" x="81"/>
        <item m="1" x="42"/>
        <item m="1" x="16"/>
        <item m="1" x="50"/>
        <item m="1" x="43"/>
        <item m="1" x="88"/>
        <item m="1" x="87"/>
        <item m="1" x="33"/>
        <item m="1" x="39"/>
        <item m="1" x="31"/>
        <item m="1" x="53"/>
        <item m="1" x="129"/>
        <item m="1" x="52"/>
        <item m="1" x="48"/>
        <item m="1" x="15"/>
        <item m="1" x="8"/>
        <item m="1" x="13"/>
        <item m="1" x="55"/>
        <item m="1" x="32"/>
        <item m="1" x="26"/>
        <item m="1" x="59"/>
        <item m="1" x="38"/>
        <item m="1" x="28"/>
        <item m="1" x="80"/>
        <item m="1" x="128"/>
        <item m="1" x="54"/>
        <item m="1" x="11"/>
        <item m="1" x="124"/>
        <item m="1" x="120"/>
        <item m="1" x="14"/>
        <item m="1" x="4"/>
        <item m="1" x="132"/>
        <item m="1" x="133"/>
        <item m="1" x="126"/>
        <item x="1"/>
        <item m="1" x="125"/>
        <item m="1" x="5"/>
        <item m="1" x="27"/>
        <item m="1" x="9"/>
        <item m="1" x="21"/>
        <item m="1" x="69"/>
        <item m="1" x="49"/>
        <item m="1" x="84"/>
        <item m="1" x="67"/>
        <item m="1" x="119"/>
        <item m="1" x="18"/>
        <item m="1" x="24"/>
        <item m="1" x="47"/>
        <item m="1" x="118"/>
        <item m="1" x="30"/>
        <item m="1" x="134"/>
        <item m="1" x="12"/>
        <item m="1" x="7"/>
        <item m="1" x="56"/>
        <item m="1" x="29"/>
        <item m="1" x="6"/>
        <item m="1" x="61"/>
        <item m="1" x="82"/>
        <item m="1" x="63"/>
        <item m="1" x="41"/>
        <item m="1" x="45"/>
        <item m="1" x="20"/>
        <item m="1" x="79"/>
        <item m="1" x="36"/>
        <item m="1" x="25"/>
        <item m="1" x="96"/>
        <item m="1" x="113"/>
        <item x="0"/>
        <item m="1" x="111"/>
        <item m="1" x="141"/>
        <item m="1" x="135"/>
        <item m="1" x="138"/>
        <item m="1" x="137"/>
        <item x="3"/>
        <item m="1" x="116"/>
        <item m="1" x="147"/>
        <item m="1" x="46"/>
        <item m="1" x="117"/>
        <item m="1" x="136"/>
        <item m="1" x="95"/>
        <item m="1" x="57"/>
        <item m="1" x="107"/>
        <item m="1" x="37"/>
        <item m="1" x="143"/>
        <item m="1" x="127"/>
        <item m="1" x="115"/>
        <item m="1" x="70"/>
        <item m="1" x="90"/>
        <item m="1" x="145"/>
        <item m="1" x="103"/>
        <item m="1" x="73"/>
        <item m="1" x="101"/>
        <item m="1" x="89"/>
        <item m="1" x="91"/>
        <item m="1" x="152"/>
        <item m="1" x="97"/>
        <item m="1" x="104"/>
        <item m="1" x="76"/>
        <item m="1" x="149"/>
        <item m="1" x="85"/>
        <item m="1" x="92"/>
        <item m="1" x="74"/>
        <item m="1" x="148"/>
        <item m="1" x="93"/>
        <item m="1" x="146"/>
        <item m="1" x="123"/>
        <item m="1" x="40"/>
        <item x="2"/>
        <item m="1" x="150"/>
        <item m="1" x="109"/>
        <item m="1" x="60"/>
        <item m="1" x="105"/>
        <item m="1" x="112"/>
        <item m="1" x="94"/>
        <item m="1" x="153"/>
        <item m="1" x="151"/>
        <item m="1" x="108"/>
        <item m="1" x="102"/>
        <item m="1" x="86"/>
        <item m="1" x="98"/>
        <item m="1" x="106"/>
        <item m="1" x="99"/>
        <item m="1" x="110"/>
        <item m="1" x="100"/>
        <item m="1" x="144"/>
        <item m="1" x="139"/>
        <item m="1" x="10"/>
        <item m="1" x="142"/>
        <item m="1" x="140"/>
        <item m="1" x="122"/>
        <item m="1" x="62"/>
        <item m="1" x="19"/>
        <item m="1" x="114"/>
        <item t="default"/>
      </items>
    </pivotField>
    <pivotField showAll="0"/>
    <pivotField showAll="0"/>
    <pivotField numFmtId="14" showAll="0"/>
    <pivotField showAll="0"/>
    <pivotField showAll="0"/>
    <pivotField showAll="0"/>
    <pivotField axis="axisRow" showAll="0" sortType="descending">
      <items count="7">
        <item h="1" m="1" x="5"/>
        <item h="1" x="0"/>
        <item x="2"/>
        <item x="1"/>
        <item x="4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dataField="1" dragToRow="0" dragToCol="0" dragToPage="0" showAll="0" defaultSubtotal="0"/>
  </pivotFields>
  <rowFields count="1">
    <field x="12"/>
  </rowFields>
  <rowItems count="5">
    <i>
      <x v="5"/>
    </i>
    <i>
      <x v="4"/>
    </i>
    <i>
      <x v="2"/>
    </i>
    <i>
      <x v="3"/>
    </i>
    <i t="grand">
      <x/>
    </i>
  </rowItems>
  <colFields count="1">
    <field x="2"/>
  </colFields>
  <colItems count="3">
    <i>
      <x v="1"/>
    </i>
    <i>
      <x v="2"/>
    </i>
    <i t="grand">
      <x/>
    </i>
  </colItems>
  <dataFields count="1">
    <dataField name="Suma de % MYSTERY" fld="18" baseField="0" baseItem="0" numFmtId="9"/>
  </dataFields>
  <formats count="17">
    <format dxfId="132">
      <pivotArea outline="0" collapsedLevelsAreSubtotals="1" fieldPosition="0"/>
    </format>
    <format dxfId="131">
      <pivotArea dataOnly="0" labelOnly="1" grandCol="1" outline="0" fieldPosition="0"/>
    </format>
    <format dxfId="130">
      <pivotArea dataOnly="0" labelOnly="1" grandCol="1" outline="0" fieldPosition="0"/>
    </format>
    <format dxfId="129">
      <pivotArea grandRow="1" outline="0" collapsedLevelsAreSubtotals="1" fieldPosition="0"/>
    </format>
    <format dxfId="128">
      <pivotArea grandRow="1" outline="0" collapsedLevelsAreSubtotals="1" fieldPosition="0"/>
    </format>
    <format dxfId="127">
      <pivotArea dataOnly="0" labelOnly="1" grandCol="1" outline="0" fieldPosition="0"/>
    </format>
    <format dxfId="126">
      <pivotArea grandRow="1" grandCol="1" outline="0" collapsedLevelsAreSubtotals="1" fieldPosition="0"/>
    </format>
    <format dxfId="125">
      <pivotArea outline="0" collapsedLevelsAreSubtotals="1" fieldPosition="0"/>
    </format>
    <format dxfId="124">
      <pivotArea field="2" type="button" dataOnly="0" labelOnly="1" outline="0" axis="axisCol" fieldPosition="0"/>
    </format>
    <format dxfId="123">
      <pivotArea type="topRight" dataOnly="0" labelOnly="1" outline="0" fieldPosition="0"/>
    </format>
    <format dxfId="122">
      <pivotArea dataOnly="0" labelOnly="1" fieldPosition="0">
        <references count="1">
          <reference field="2" count="0"/>
        </references>
      </pivotArea>
    </format>
    <format dxfId="121">
      <pivotArea dataOnly="0" labelOnly="1" grandCol="1" outline="0" fieldPosition="0"/>
    </format>
    <format dxfId="120">
      <pivotArea outline="0" collapsedLevelsAreSubtotals="1" fieldPosition="0"/>
    </format>
    <format dxfId="119">
      <pivotArea field="2" type="button" dataOnly="0" labelOnly="1" outline="0" axis="axisCol" fieldPosition="0"/>
    </format>
    <format dxfId="118">
      <pivotArea type="topRight" dataOnly="0" labelOnly="1" outline="0" fieldPosition="0"/>
    </format>
    <format dxfId="117">
      <pivotArea dataOnly="0" labelOnly="1" fieldPosition="0">
        <references count="1">
          <reference field="2" count="0"/>
        </references>
      </pivotArea>
    </format>
    <format dxfId="116">
      <pivotArea dataOnly="0" labelOnly="1" grandCol="1" outline="0" fieldPosition="0"/>
    </format>
  </formats>
  <chartFormats count="3">
    <chartFormat chart="0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2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</chartFormats>
  <pivotTableStyleInfo name="Estilo de tabla dinámica 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>
        <x14:conditionalFormats count="2">
          <x14:conditionalFormat priority="6" id="{F5C99382-1D20-44CA-9003-4F74D34D5C7D}">
            <x14:pivotAreas count="1">
              <pivotArea type="data" outline="0" collapsedLevelsAreSubtotals="1" fieldPosition="0">
                <references count="2">
                  <reference field="4294967294" count="1" selected="0">
                    <x v="0"/>
                  </reference>
                  <reference field="2" count="2" selected="0">
                    <x v="1"/>
                    <x v="2"/>
                  </reference>
                </references>
              </pivotArea>
            </x14:pivotAreas>
          </x14:conditionalFormat>
          <x14:conditionalFormat priority="99" id="{A7410DC0-EE9E-4584-A866-672877DBC4E6}">
            <x14:pivotAreas count="1">
              <pivotArea type="data" grandCol="1" outline="0" collapsedLevelsAreSubtotals="1" fieldPosition="0">
                <references count="1">
                  <reference field="4294967294" count="1" selected="0">
                    <x v="0"/>
                  </reference>
                </references>
              </pivotArea>
            </x14:pivotAreas>
          </x14:conditionalFormat>
        </x14:conditionalFormats>
      </x14:pivotTableDefinition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C480BA-2D05-4BE0-8BEA-795F3E018008}" name="TablaDinámica9" cacheId="87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rowHeaderCaption="CIUDAD">
  <location ref="D4:J9" firstHeaderRow="0" firstDataRow="1" firstDataCol="1"/>
  <pivotFields count="11">
    <pivotField showAll="0"/>
    <pivotField axis="axisRow" showAll="0" sortType="descending">
      <items count="16">
        <item x="2"/>
        <item x="0"/>
        <item x="1"/>
        <item m="1" x="4"/>
        <item m="1" x="5"/>
        <item m="1" x="7"/>
        <item m="1" x="6"/>
        <item m="1" x="14"/>
        <item m="1" x="13"/>
        <item m="1" x="12"/>
        <item x="3"/>
        <item m="1" x="10"/>
        <item m="1" x="11"/>
        <item m="1" x="8"/>
        <item m="1" x="9"/>
        <item t="default"/>
      </items>
      <autoSortScope>
        <pivotArea dataOnly="0" outline="0" fieldPosition="0">
          <references count="1">
            <reference field="4294967294" count="1" selected="0">
              <x v="5"/>
            </reference>
          </references>
        </pivotArea>
      </autoSortScope>
    </pivotField>
    <pivotField showAll="0"/>
    <pivotField showAll="0"/>
    <pivotField dataField="1" showAll="0"/>
    <pivotField dataField="1" showAll="0"/>
    <pivotField dataField="1" showAll="0"/>
    <pivotField showAll="0"/>
    <pivotField dataField="1" showAll="0"/>
    <pivotField dataField="1" dragToRow="0" dragToCol="0" dragToPage="0" showAll="0" defaultSubtotal="0"/>
    <pivotField dataField="1" dragToRow="0" dragToCol="0" dragToPage="0" showAll="0" defaultSubtotal="0"/>
  </pivotFields>
  <rowFields count="1">
    <field x="1"/>
  </rowFields>
  <rowItems count="5">
    <i>
      <x/>
    </i>
    <i>
      <x v="2"/>
    </i>
    <i>
      <x v="1"/>
    </i>
    <i>
      <x v="10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#PDV Obj." fld="5" baseField="0" baseItem="0"/>
    <dataField name="#PDV Eje." fld="6" baseField="0" baseItem="0"/>
    <dataField name=".% Ejecucion" fld="9" baseField="0" baseItem="0" numFmtId="9"/>
    <dataField name="Obj Mystery" fld="4" baseField="0" baseItem="0"/>
    <dataField name="Mystery Eje." fld="8" baseField="0" baseItem="0"/>
    <dataField name="% Efectividad." fld="10" baseField="0" baseItem="0" numFmtId="9"/>
  </dataFields>
  <formats count="24">
    <format dxfId="156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155">
      <pivotArea outline="0" collapsedLevelsAreSubtotals="1" fieldPosition="0"/>
    </format>
    <format dxfId="154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153">
      <pivotArea outline="0" collapsedLevelsAreSubtotals="1" fieldPosition="0"/>
    </format>
    <format dxfId="152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151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150">
      <pivotArea field="1" grandRow="1" outline="0" collapsedLevelsAreSubtotals="1" axis="axisRow" fieldPosition="0">
        <references count="1">
          <reference field="4294967294" count="1" selected="0">
            <x v="2"/>
          </reference>
        </references>
      </pivotArea>
    </format>
    <format dxfId="149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148">
      <pivotArea outline="0" collapsedLevelsAreSubtotals="1" fieldPosition="0">
        <references count="1">
          <reference field="4294967294" count="1" selected="0">
            <x v="5"/>
          </reference>
        </references>
      </pivotArea>
    </format>
    <format dxfId="147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146">
      <pivotArea outline="0" collapsedLevelsAreSubtotals="1" fieldPosition="0">
        <references count="1">
          <reference field="4294967294" count="3" selected="0">
            <x v="3"/>
            <x v="4"/>
            <x v="5"/>
          </reference>
        </references>
      </pivotArea>
    </format>
    <format dxfId="145">
      <pivotArea dataOnly="0" labelOnly="1" outline="0" fieldPosition="0">
        <references count="1">
          <reference field="4294967294" count="3">
            <x v="3"/>
            <x v="4"/>
            <x v="5"/>
          </reference>
        </references>
      </pivotArea>
    </format>
    <format dxfId="144">
      <pivotArea outline="0" collapsedLevelsAreSubtotals="1" fieldPosition="0">
        <references count="1">
          <reference field="4294967294" count="3" selected="0">
            <x v="3"/>
            <x v="4"/>
            <x v="5"/>
          </reference>
        </references>
      </pivotArea>
    </format>
    <format dxfId="143">
      <pivotArea dataOnly="0" labelOnly="1" outline="0" fieldPosition="0">
        <references count="1">
          <reference field="4294967294" count="3">
            <x v="3"/>
            <x v="4"/>
            <x v="5"/>
          </reference>
        </references>
      </pivotArea>
    </format>
    <format dxfId="142">
      <pivotArea field="1" grandRow="1" outline="0" collapsedLevelsAreSubtotals="1" axis="axisRow" fieldPosition="0">
        <references count="1">
          <reference field="4294967294" count="2" selected="0">
            <x v="0"/>
            <x v="1"/>
          </reference>
        </references>
      </pivotArea>
    </format>
    <format dxfId="141">
      <pivotArea field="1" grandRow="1" outline="0" collapsedLevelsAreSubtotals="1" axis="axisRow" fieldPosition="0">
        <references count="1">
          <reference field="4294967294" count="3" selected="0">
            <x v="3"/>
            <x v="4"/>
            <x v="5"/>
          </reference>
        </references>
      </pivotArea>
    </format>
    <format dxfId="140">
      <pivotArea field="1" grandRow="1" outline="0" collapsedLevelsAreSubtotals="1" axis="axisRow" fieldPosition="0">
        <references count="1">
          <reference field="4294967294" count="3" selected="0">
            <x v="3"/>
            <x v="4"/>
            <x v="5"/>
          </reference>
        </references>
      </pivotArea>
    </format>
    <format dxfId="139">
      <pivotArea field="1" grandRow="1" outline="0" collapsedLevelsAreSubtotals="1" axis="axisRow" fieldPosition="0">
        <references count="1">
          <reference field="4294967294" count="2" selected="0">
            <x v="0"/>
            <x v="1"/>
          </reference>
        </references>
      </pivotArea>
    </format>
    <format dxfId="138">
      <pivotArea field="1" grandRow="1" outline="0" collapsedLevelsAreSubtotals="1" axis="axisRow" fieldPosition="0">
        <references count="1">
          <reference field="4294967294" count="1" selected="0">
            <x v="2"/>
          </reference>
        </references>
      </pivotArea>
    </format>
    <format dxfId="137">
      <pivotArea field="1" type="button" dataOnly="0" labelOnly="1" outline="0" axis="axisRow" fieldPosition="0"/>
    </format>
    <format dxfId="136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135">
      <pivotArea dataOnly="0" labelOnly="1" grandRow="1" outline="0" fieldPosition="0"/>
    </format>
    <format dxfId="134">
      <pivotArea field="1" grandRow="1" outline="0" collapsedLevelsAreSubtotals="1" axis="axisRow" fieldPosition="0">
        <references count="1">
          <reference field="4294967294" count="1" selected="0">
            <x v="5"/>
          </reference>
        </references>
      </pivotArea>
    </format>
    <format dxfId="133">
      <pivotArea field="1" grandRow="1" outline="0" collapsedLevelsAreSubtotals="1" axis="axisRow" fieldPosition="0">
        <references count="1">
          <reference field="4294967294" count="1" selected="0">
            <x v="5"/>
          </reference>
        </references>
      </pivotArea>
    </format>
  </formats>
  <pivotTableStyleInfo name="Estilo de tabla dinámica 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69F2861-8B4F-4AB1-8DB9-3577766F9B6D}" name="TablaDinámica14" cacheId="86" applyNumberFormats="0" applyBorderFormats="0" applyFontFormats="0" applyPatternFormats="0" applyAlignmentFormats="0" applyWidthHeightFormats="1" dataCaption="Valores" grandTotalCaption="% MYSTERY" showError="1" updatedVersion="8" minRefreshableVersion="3" itemPrintTitles="1" createdVersion="8" indent="0" compact="0" compactData="0" multipleFieldFilters="0">
  <location ref="D41:K46" firstHeaderRow="1" firstDataRow="2" firstDataCol="3" rowPageCount="1" colPageCount="1"/>
  <pivotFields count="19"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2">
        <item x="2"/>
        <item x="0"/>
        <item m="1" x="3"/>
        <item m="1" x="7"/>
        <item m="1" x="5"/>
        <item x="1"/>
        <item m="1" x="11"/>
        <item m="1" x="10"/>
        <item m="1" x="9"/>
        <item m="1" x="4"/>
        <item m="1" x="8"/>
        <item m="1" x="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">
        <item h="1" m="1" x="2"/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sortType="descending" defaultSubtotal="0">
      <items count="154">
        <item m="1" x="141"/>
        <item m="1" x="147"/>
        <item m="1" x="143"/>
        <item m="1" x="145"/>
        <item m="1" x="91"/>
        <item m="1" x="152"/>
        <item m="1" x="76"/>
        <item m="1" x="149"/>
        <item m="1" x="74"/>
        <item m="1" x="148"/>
        <item m="1" x="146"/>
        <item m="1" x="150"/>
        <item m="1" x="153"/>
        <item m="1" x="151"/>
        <item m="1" x="144"/>
        <item m="1" x="139"/>
        <item m="1" x="142"/>
        <item m="1" x="140"/>
        <item m="1" x="122"/>
        <item m="1" x="73"/>
        <item m="1" x="138"/>
        <item m="1" x="136"/>
        <item m="1" x="137"/>
        <item m="1" x="135"/>
        <item m="1" x="40"/>
        <item m="1" x="127"/>
        <item m="1" x="128"/>
        <item m="1" x="129"/>
        <item m="1" x="130"/>
        <item m="1" x="131"/>
        <item m="1" x="132"/>
        <item m="1" x="133"/>
        <item m="1" x="134"/>
        <item m="1" x="123"/>
        <item m="1" x="115"/>
        <item m="1" x="116"/>
        <item m="1" x="117"/>
        <item m="1" x="118"/>
        <item m="1" x="119"/>
        <item m="1" x="124"/>
        <item m="1" x="120"/>
        <item m="1" x="125"/>
        <item m="1" x="126"/>
        <item m="1" x="121"/>
        <item m="1" x="109"/>
        <item m="1" x="112"/>
        <item m="1" x="111"/>
        <item m="1" x="110"/>
        <item m="1" x="114"/>
        <item m="1" x="113"/>
        <item m="1" x="19"/>
        <item m="1" x="99"/>
        <item m="1" x="98"/>
        <item m="1" x="96"/>
        <item m="1" x="57"/>
        <item m="1" x="102"/>
        <item m="1" x="103"/>
        <item m="1" x="97"/>
        <item m="1" x="95"/>
        <item m="1" x="108"/>
        <item m="1" x="100"/>
        <item m="1" x="101"/>
        <item m="1" x="104"/>
        <item m="1" x="107"/>
        <item m="1" x="105"/>
        <item m="1" x="60"/>
        <item m="1" x="106"/>
        <item m="1" x="92"/>
        <item m="1" x="70"/>
        <item m="1" x="93"/>
        <item m="1" x="90"/>
        <item m="1" x="94"/>
        <item m="1" x="85"/>
        <item m="1" x="86"/>
        <item m="1" x="88"/>
        <item m="1" x="87"/>
        <item m="1" x="89"/>
        <item m="1" x="81"/>
        <item m="1" x="75"/>
        <item m="1" x="78"/>
        <item m="1" x="80"/>
        <item m="1" x="83"/>
        <item m="1" x="82"/>
        <item m="1" x="84"/>
        <item m="1" x="79"/>
        <item m="1" x="77"/>
        <item m="1" x="71"/>
        <item m="1" x="68"/>
        <item m="1" x="69"/>
        <item m="1" x="72"/>
        <item m="1" x="65"/>
        <item m="1" x="61"/>
        <item m="1" x="63"/>
        <item m="1" x="62"/>
        <item m="1" x="67"/>
        <item m="1" x="66"/>
        <item m="1" x="64"/>
        <item m="1" x="46"/>
        <item m="1" x="47"/>
        <item m="1" x="48"/>
        <item m="1" x="49"/>
        <item m="1" x="50"/>
        <item m="1" x="51"/>
        <item m="1" x="52"/>
        <item m="1" x="53"/>
        <item m="1" x="54"/>
        <item m="1" x="55"/>
        <item m="1" x="56"/>
        <item m="1" x="58"/>
        <item m="1" x="59"/>
        <item m="1" x="41"/>
        <item m="1" x="42"/>
        <item m="1" x="43"/>
        <item m="1" x="4"/>
        <item m="1" x="28"/>
        <item m="1" x="44"/>
        <item m="1" x="24"/>
        <item m="1" x="12"/>
        <item m="1" x="45"/>
        <item m="1" x="30"/>
        <item m="1" x="31"/>
        <item m="1" x="32"/>
        <item m="1" x="33"/>
        <item m="1" x="34"/>
        <item m="1" x="35"/>
        <item m="1" x="36"/>
        <item m="1" x="37"/>
        <item m="1" x="38"/>
        <item m="1" x="39"/>
        <item m="1" x="8"/>
        <item m="1" x="22"/>
        <item m="1" x="29"/>
        <item m="1" x="21"/>
        <item m="1" x="27"/>
        <item m="1" x="25"/>
        <item m="1" x="23"/>
        <item m="1" x="26"/>
        <item m="1" x="13"/>
        <item m="1" x="16"/>
        <item m="1" x="15"/>
        <item m="1" x="14"/>
        <item m="1" x="17"/>
        <item m="1" x="20"/>
        <item m="1" x="18"/>
        <item m="1" x="9"/>
        <item m="1" x="10"/>
        <item m="1" x="11"/>
        <item m="1" x="5"/>
        <item m="1" x="6"/>
        <item m="1" x="7"/>
        <item x="0"/>
        <item x="1"/>
        <item x="2"/>
        <item x="3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4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multipleItemSelectionAllowed="1" showAll="0">
      <items count="4">
        <item m="1" x="2"/>
        <item x="0"/>
        <item x="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outline="0" showAll="0" sortType="ascending">
      <items count="7">
        <item h="1" m="1" x="5"/>
        <item x="3"/>
        <item x="4"/>
        <item x="2"/>
        <item h="1" x="0"/>
        <item x="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dragToRow="0" dragToCol="0" dragToPag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3">
    <field x="1"/>
    <field x="2"/>
    <field x="5"/>
  </rowFields>
  <rowItems count="4">
    <i>
      <x/>
      <x v="2"/>
      <x v="152"/>
    </i>
    <i>
      <x v="1"/>
      <x v="1"/>
      <x v="150"/>
    </i>
    <i>
      <x v="5"/>
      <x v="2"/>
      <x v="151"/>
    </i>
    <i t="grand">
      <x/>
    </i>
  </rowItems>
  <colFields count="1">
    <field x="12"/>
  </colFields>
  <colItems count="5">
    <i>
      <x v="1"/>
    </i>
    <i>
      <x v="2"/>
    </i>
    <i>
      <x v="3"/>
    </i>
    <i>
      <x v="5"/>
    </i>
    <i t="grand">
      <x/>
    </i>
  </colItems>
  <pageFields count="1">
    <pageField fld="11" hier="-1"/>
  </pageFields>
  <dataFields count="1">
    <dataField name="Suma de % MYSTERY" fld="18" baseField="0" baseItem="0" numFmtId="9"/>
  </dataFields>
  <formats count="41">
    <format dxfId="197">
      <pivotArea outline="0" collapsedLevelsAreSubtotals="1" fieldPosition="0"/>
    </format>
    <format dxfId="196">
      <pivotArea outline="0" collapsedLevelsAreSubtotals="1" fieldPosition="0"/>
    </format>
    <format dxfId="195">
      <pivotArea dataOnly="0" labelOnly="1" grandCol="1" outline="0" fieldPosition="0"/>
    </format>
    <format dxfId="194">
      <pivotArea outline="0" collapsedLevelsAreSubtotals="1" fieldPosition="0"/>
    </format>
    <format dxfId="193">
      <pivotArea dataOnly="0" labelOnly="1" grandCol="1" outline="0" fieldPosition="0"/>
    </format>
    <format dxfId="192">
      <pivotArea grandRow="1" outline="0" collapsedLevelsAreSubtotals="1" fieldPosition="0"/>
    </format>
    <format dxfId="191">
      <pivotArea grandRow="1" outline="0" collapsedLevelsAreSubtotals="1" fieldPosition="0"/>
    </format>
    <format dxfId="190">
      <pivotArea dataOnly="0" labelOnly="1" grandCol="1" outline="0" fieldPosition="0"/>
    </format>
    <format dxfId="189">
      <pivotArea dataOnly="0" labelOnly="1" outline="0" fieldPosition="0">
        <references count="2">
          <reference field="1" count="1" selected="0">
            <x v="0"/>
          </reference>
          <reference field="5" count="1">
            <x v="16"/>
          </reference>
        </references>
      </pivotArea>
    </format>
    <format dxfId="188">
      <pivotArea dataOnly="0" labelOnly="1" outline="0" fieldPosition="0">
        <references count="2">
          <reference field="1" count="1" selected="0">
            <x v="0"/>
          </reference>
          <reference field="5" count="1">
            <x v="16"/>
          </reference>
        </references>
      </pivotArea>
    </format>
    <format dxfId="187">
      <pivotArea dataOnly="0" labelOnly="1" outline="0" fieldPosition="0">
        <references count="2">
          <reference field="1" count="1" selected="0">
            <x v="4"/>
          </reference>
          <reference field="5" count="2">
            <x v="14"/>
            <x v="18"/>
          </reference>
        </references>
      </pivotArea>
    </format>
    <format dxfId="186">
      <pivotArea dataOnly="0" labelOnly="1" outline="0" fieldPosition="0">
        <references count="2">
          <reference field="1" count="1" selected="0">
            <x v="0"/>
          </reference>
          <reference field="5" count="1">
            <x v="16"/>
          </reference>
        </references>
      </pivotArea>
    </format>
    <format dxfId="185">
      <pivotArea dataOnly="0" labelOnly="1" outline="0" fieldPosition="0">
        <references count="2">
          <reference field="1" count="1" selected="0">
            <x v="4"/>
          </reference>
          <reference field="5" count="2">
            <x v="14"/>
            <x v="18"/>
          </reference>
        </references>
      </pivotArea>
    </format>
    <format dxfId="184">
      <pivotArea field="1" type="button" dataOnly="0" labelOnly="1" outline="0" axis="axisRow" fieldPosition="0"/>
    </format>
    <format dxfId="183">
      <pivotArea field="5" type="button" dataOnly="0" labelOnly="1" outline="0" axis="axisRow" fieldPosition="2"/>
    </format>
    <format dxfId="182">
      <pivotArea dataOnly="0" labelOnly="1" outline="0" fieldPosition="0">
        <references count="1">
          <reference field="12" count="0"/>
        </references>
      </pivotArea>
    </format>
    <format dxfId="181">
      <pivotArea dataOnly="0" labelOnly="1" grandCol="1" outline="0" fieldPosition="0"/>
    </format>
    <format dxfId="180">
      <pivotArea field="1" type="button" dataOnly="0" labelOnly="1" outline="0" axis="axisRow" fieldPosition="0"/>
    </format>
    <format dxfId="179">
      <pivotArea field="5" type="button" dataOnly="0" labelOnly="1" outline="0" axis="axisRow" fieldPosition="2"/>
    </format>
    <format dxfId="178">
      <pivotArea dataOnly="0" labelOnly="1" outline="0" fieldPosition="0">
        <references count="1">
          <reference field="12" count="0"/>
        </references>
      </pivotArea>
    </format>
    <format dxfId="177">
      <pivotArea dataOnly="0" labelOnly="1" grandCol="1" outline="0" fieldPosition="0"/>
    </format>
    <format dxfId="176">
      <pivotArea field="2" type="button" dataOnly="0" labelOnly="1" outline="0" axis="axisRow" fieldPosition="1"/>
    </format>
    <format dxfId="175">
      <pivotArea field="1" type="button" dataOnly="0" labelOnly="1" outline="0" axis="axisRow" fieldPosition="0"/>
    </format>
    <format dxfId="174">
      <pivotArea field="2" type="button" dataOnly="0" labelOnly="1" outline="0" axis="axisRow" fieldPosition="1"/>
    </format>
    <format dxfId="173">
      <pivotArea field="5" type="button" dataOnly="0" labelOnly="1" outline="0" axis="axisRow" fieldPosition="2"/>
    </format>
    <format dxfId="172">
      <pivotArea dataOnly="0" labelOnly="1" outline="0" fieldPosition="0">
        <references count="1">
          <reference field="12" count="0"/>
        </references>
      </pivotArea>
    </format>
    <format dxfId="171">
      <pivotArea dataOnly="0" labelOnly="1" grandCol="1" outline="0" fieldPosition="0"/>
    </format>
    <format dxfId="170">
      <pivotArea field="1" type="button" dataOnly="0" labelOnly="1" outline="0" axis="axisRow" fieldPosition="0"/>
    </format>
    <format dxfId="169">
      <pivotArea field="2" type="button" dataOnly="0" labelOnly="1" outline="0" axis="axisRow" fieldPosition="1"/>
    </format>
    <format dxfId="168">
      <pivotArea field="5" type="button" dataOnly="0" labelOnly="1" outline="0" axis="axisRow" fieldPosition="2"/>
    </format>
    <format dxfId="167">
      <pivotArea dataOnly="0" labelOnly="1" outline="0" fieldPosition="0">
        <references count="1">
          <reference field="12" count="0"/>
        </references>
      </pivotArea>
    </format>
    <format dxfId="166">
      <pivotArea field="12" grandRow="1" outline="0" axis="axisCol" fieldPosition="0">
        <references count="1">
          <reference field="12" count="0" selected="0"/>
        </references>
      </pivotArea>
    </format>
    <format dxfId="165">
      <pivotArea dataOnly="0" labelOnly="1" outline="0" fieldPosition="0">
        <references count="1">
          <reference field="1" count="2">
            <x v="0"/>
            <x v="4"/>
          </reference>
        </references>
      </pivotArea>
    </format>
    <format dxfId="164">
      <pivotArea dataOnly="0" labelOnly="1" grandRow="1" outline="0" fieldPosition="0"/>
    </format>
    <format dxfId="163">
      <pivotArea dataOnly="0" labelOnly="1" outline="0" fieldPosition="0">
        <references count="1">
          <reference field="1" count="2">
            <x v="0"/>
            <x v="4"/>
          </reference>
        </references>
      </pivotArea>
    </format>
    <format dxfId="162">
      <pivotArea dataOnly="0" labelOnly="1" grandRow="1" outline="0" fieldPosition="0"/>
    </format>
    <format dxfId="161">
      <pivotArea field="11" type="button" dataOnly="0" labelOnly="1" outline="0" axis="axisPage" fieldPosition="0"/>
    </format>
    <format dxfId="160">
      <pivotArea field="12" grandRow="1" outline="0" axis="axisCol" fieldPosition="0">
        <references count="1">
          <reference field="12" count="0" selected="0"/>
        </references>
      </pivotArea>
    </format>
    <format dxfId="159">
      <pivotArea field="12" grandRow="1" outline="0" axis="axisCol" fieldPosition="0">
        <references count="1">
          <reference field="12" count="0" selected="0"/>
        </references>
      </pivotArea>
    </format>
    <format dxfId="158">
      <pivotArea field="12" grandRow="1" outline="0" axis="axisCol" fieldPosition="0">
        <references count="1">
          <reference field="12" count="0" selected="0"/>
        </references>
      </pivotArea>
    </format>
    <format dxfId="157">
      <pivotArea grandRow="1" grandCol="1" outline="0" collapsedLevelsAreSubtotals="1" fieldPosition="0"/>
    </format>
  </formats>
  <pivotTableStyleInfo name="Estilo de tabla dinámica 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>
        <x14:conditionalFormats count="2">
          <x14:conditionalFormat priority="1" id="{1F94881B-21B8-4B25-9F26-6027EC17C078}">
            <x14:pivotAreas count="1">
              <pivotArea type="data" grandRow="1" grandCol="1" outline="0" collapsedLevelsAreSubtotals="1" fieldPosition="0">
                <references count="1">
                  <reference field="4294967294" count="1" selected="0">
                    <x v="0"/>
                  </reference>
                </references>
              </pivotArea>
            </x14:pivotAreas>
          </x14:conditionalFormat>
          <x14:conditionalFormat priority="2" id="{7F6792EB-B305-47AC-B59E-D9E08A358292}">
            <x14:pivotAreas count="1">
              <pivotArea type="data" grandCol="1" outline="0" collapsedLevelsAreSubtotals="1" fieldPosition="0">
                <references count="4">
                  <reference field="4294967294" count="1" selected="0">
                    <x v="0"/>
                  </reference>
                  <reference field="1" count="3" selected="0">
                    <x v="0"/>
                    <x v="1"/>
                    <x v="2"/>
                  </reference>
                  <reference field="2" count="1" selected="0">
                    <x v="1"/>
                  </reference>
                  <reference field="5" count="3" selected="0">
                    <x v="113"/>
                    <x v="129"/>
                    <x v="144"/>
                  </reference>
                </references>
              </pivotArea>
            </x14:pivotAreas>
          </x14:conditionalFormat>
        </x14:conditionalFormats>
      </x14:pivotTableDefinition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7D1DB93-6B46-4C1C-881B-037C4912781B}" name="TablaDinámica12" cacheId="86" applyNumberFormats="0" applyBorderFormats="0" applyFontFormats="0" applyPatternFormats="0" applyAlignmentFormats="0" applyWidthHeightFormats="1" dataCaption="Valores" grandTotalCaption="% MYSTERY" errorCaption="0" showError="1" updatedVersion="8" minRefreshableVersion="3" itemPrintTitles="1" createdVersion="8" indent="0" outline="1" outlineData="1" multipleFieldFilters="0" chartFormat="6" rowHeaderCaption="CLUSTER">
  <location ref="D26:H32" firstHeaderRow="1" firstDataRow="2" firstDataCol="1"/>
  <pivotFields count="19">
    <pivotField showAll="0"/>
    <pivotField axis="axisCol" showAll="0">
      <items count="13">
        <item x="2"/>
        <item x="0"/>
        <item m="1" x="3"/>
        <item m="1" x="7"/>
        <item m="1" x="5"/>
        <item x="1"/>
        <item m="1" x="11"/>
        <item m="1" x="10"/>
        <item m="1" x="9"/>
        <item m="1" x="4"/>
        <item m="1" x="8"/>
        <item m="1" x="6"/>
        <item t="default"/>
      </items>
    </pivotField>
    <pivotField showAll="0"/>
    <pivotField showAll="0"/>
    <pivotField showAll="0"/>
    <pivotField showAll="0">
      <items count="155">
        <item m="1" x="66"/>
        <item m="1" x="58"/>
        <item m="1" x="23"/>
        <item m="1" x="22"/>
        <item m="1" x="34"/>
        <item m="1" x="17"/>
        <item m="1" x="78"/>
        <item m="1" x="71"/>
        <item m="1" x="131"/>
        <item m="1" x="130"/>
        <item m="1" x="64"/>
        <item m="1" x="68"/>
        <item m="1" x="65"/>
        <item m="1" x="121"/>
        <item m="1" x="83"/>
        <item m="1" x="75"/>
        <item m="1" x="72"/>
        <item m="1" x="77"/>
        <item m="1" x="51"/>
        <item m="1" x="44"/>
        <item m="1" x="35"/>
        <item m="1" x="81"/>
        <item m="1" x="42"/>
        <item m="1" x="16"/>
        <item m="1" x="50"/>
        <item m="1" x="43"/>
        <item m="1" x="88"/>
        <item m="1" x="87"/>
        <item m="1" x="33"/>
        <item m="1" x="39"/>
        <item m="1" x="31"/>
        <item m="1" x="53"/>
        <item m="1" x="129"/>
        <item m="1" x="52"/>
        <item m="1" x="48"/>
        <item m="1" x="15"/>
        <item m="1" x="8"/>
        <item m="1" x="13"/>
        <item m="1" x="55"/>
        <item m="1" x="32"/>
        <item m="1" x="26"/>
        <item m="1" x="59"/>
        <item m="1" x="38"/>
        <item m="1" x="28"/>
        <item m="1" x="80"/>
        <item m="1" x="128"/>
        <item m="1" x="54"/>
        <item m="1" x="11"/>
        <item m="1" x="124"/>
        <item m="1" x="120"/>
        <item m="1" x="14"/>
        <item m="1" x="4"/>
        <item m="1" x="132"/>
        <item m="1" x="133"/>
        <item m="1" x="126"/>
        <item x="1"/>
        <item m="1" x="125"/>
        <item m="1" x="5"/>
        <item m="1" x="27"/>
        <item m="1" x="9"/>
        <item m="1" x="21"/>
        <item m="1" x="69"/>
        <item m="1" x="49"/>
        <item m="1" x="84"/>
        <item m="1" x="67"/>
        <item m="1" x="119"/>
        <item m="1" x="18"/>
        <item m="1" x="24"/>
        <item m="1" x="47"/>
        <item m="1" x="118"/>
        <item m="1" x="30"/>
        <item m="1" x="134"/>
        <item m="1" x="12"/>
        <item m="1" x="7"/>
        <item m="1" x="56"/>
        <item m="1" x="29"/>
        <item m="1" x="6"/>
        <item m="1" x="61"/>
        <item m="1" x="82"/>
        <item m="1" x="63"/>
        <item m="1" x="41"/>
        <item m="1" x="45"/>
        <item m="1" x="20"/>
        <item m="1" x="79"/>
        <item m="1" x="36"/>
        <item m="1" x="25"/>
        <item m="1" x="96"/>
        <item m="1" x="113"/>
        <item x="0"/>
        <item m="1" x="111"/>
        <item m="1" x="141"/>
        <item m="1" x="135"/>
        <item m="1" x="138"/>
        <item m="1" x="137"/>
        <item x="3"/>
        <item m="1" x="116"/>
        <item m="1" x="147"/>
        <item m="1" x="46"/>
        <item m="1" x="117"/>
        <item m="1" x="136"/>
        <item m="1" x="95"/>
        <item m="1" x="57"/>
        <item m="1" x="107"/>
        <item m="1" x="37"/>
        <item m="1" x="143"/>
        <item m="1" x="127"/>
        <item m="1" x="115"/>
        <item m="1" x="70"/>
        <item m="1" x="90"/>
        <item m="1" x="145"/>
        <item m="1" x="103"/>
        <item m="1" x="73"/>
        <item m="1" x="101"/>
        <item m="1" x="89"/>
        <item m="1" x="91"/>
        <item m="1" x="152"/>
        <item m="1" x="97"/>
        <item m="1" x="104"/>
        <item m="1" x="76"/>
        <item m="1" x="149"/>
        <item m="1" x="85"/>
        <item m="1" x="92"/>
        <item m="1" x="74"/>
        <item m="1" x="148"/>
        <item m="1" x="93"/>
        <item m="1" x="146"/>
        <item m="1" x="123"/>
        <item m="1" x="40"/>
        <item x="2"/>
        <item m="1" x="150"/>
        <item m="1" x="109"/>
        <item m="1" x="60"/>
        <item m="1" x="105"/>
        <item m="1" x="112"/>
        <item m="1" x="94"/>
        <item m="1" x="153"/>
        <item m="1" x="151"/>
        <item m="1" x="108"/>
        <item m="1" x="102"/>
        <item m="1" x="86"/>
        <item m="1" x="98"/>
        <item m="1" x="106"/>
        <item m="1" x="99"/>
        <item m="1" x="110"/>
        <item m="1" x="100"/>
        <item m="1" x="144"/>
        <item m="1" x="139"/>
        <item m="1" x="10"/>
        <item m="1" x="142"/>
        <item m="1" x="140"/>
        <item m="1" x="122"/>
        <item m="1" x="62"/>
        <item m="1" x="19"/>
        <item m="1" x="114"/>
        <item t="default"/>
      </items>
    </pivotField>
    <pivotField showAll="0"/>
    <pivotField showAll="0"/>
    <pivotField numFmtId="14" showAll="0"/>
    <pivotField multipleItemSelectionAllowed="1" showAll="0"/>
    <pivotField showAll="0"/>
    <pivotField showAll="0"/>
    <pivotField axis="axisRow" showAll="0" sortType="descending">
      <items count="7">
        <item h="1" x="0"/>
        <item h="1" m="1" x="5"/>
        <item x="2"/>
        <item x="1"/>
        <item x="4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dataField="1" dragToRow="0" dragToCol="0" dragToPage="0" showAll="0" defaultSubtotal="0"/>
  </pivotFields>
  <rowFields count="1">
    <field x="12"/>
  </rowFields>
  <rowItems count="5">
    <i>
      <x v="5"/>
    </i>
    <i>
      <x v="4"/>
    </i>
    <i>
      <x v="2"/>
    </i>
    <i>
      <x v="3"/>
    </i>
    <i t="grand">
      <x/>
    </i>
  </rowItems>
  <colFields count="1">
    <field x="1"/>
  </colFields>
  <colItems count="4">
    <i>
      <x/>
    </i>
    <i>
      <x v="1"/>
    </i>
    <i>
      <x v="5"/>
    </i>
    <i t="grand">
      <x/>
    </i>
  </colItems>
  <dataFields count="1">
    <dataField name="Suma de % MYSTERY" fld="18" baseField="0" baseItem="0" numFmtId="9"/>
  </dataFields>
  <formats count="17">
    <format dxfId="214">
      <pivotArea outline="0" collapsedLevelsAreSubtotals="1" fieldPosition="0"/>
    </format>
    <format dxfId="213">
      <pivotArea dataOnly="0" labelOnly="1" grandCol="1" outline="0" fieldPosition="0"/>
    </format>
    <format dxfId="212">
      <pivotArea dataOnly="0" labelOnly="1" grandCol="1" outline="0" fieldPosition="0"/>
    </format>
    <format dxfId="211">
      <pivotArea grandRow="1" outline="0" collapsedLevelsAreSubtotals="1" fieldPosition="0"/>
    </format>
    <format dxfId="210">
      <pivotArea grandRow="1" outline="0" collapsedLevelsAreSubtotals="1" fieldPosition="0"/>
    </format>
    <format dxfId="209">
      <pivotArea dataOnly="0" labelOnly="1" grandCol="1" outline="0" fieldPosition="0"/>
    </format>
    <format dxfId="208">
      <pivotArea grandRow="1" grandCol="1" outline="0" collapsedLevelsAreSubtotals="1" fieldPosition="0"/>
    </format>
    <format dxfId="207">
      <pivotArea outline="0" collapsedLevelsAreSubtotals="1" fieldPosition="0"/>
    </format>
    <format dxfId="206">
      <pivotArea field="1" type="button" dataOnly="0" labelOnly="1" outline="0" axis="axisCol" fieldPosition="0"/>
    </format>
    <format dxfId="205">
      <pivotArea type="topRight" dataOnly="0" labelOnly="1" outline="0" fieldPosition="0"/>
    </format>
    <format dxfId="204">
      <pivotArea dataOnly="0" labelOnly="1" fieldPosition="0">
        <references count="1">
          <reference field="1" count="0"/>
        </references>
      </pivotArea>
    </format>
    <format dxfId="203">
      <pivotArea dataOnly="0" labelOnly="1" grandCol="1" outline="0" fieldPosition="0"/>
    </format>
    <format dxfId="202">
      <pivotArea outline="0" collapsedLevelsAreSubtotals="1" fieldPosition="0"/>
    </format>
    <format dxfId="201">
      <pivotArea field="1" type="button" dataOnly="0" labelOnly="1" outline="0" axis="axisCol" fieldPosition="0"/>
    </format>
    <format dxfId="200">
      <pivotArea type="topRight" dataOnly="0" labelOnly="1" outline="0" fieldPosition="0"/>
    </format>
    <format dxfId="199">
      <pivotArea dataOnly="0" labelOnly="1" fieldPosition="0">
        <references count="1">
          <reference field="1" count="0"/>
        </references>
      </pivotArea>
    </format>
    <format dxfId="198">
      <pivotArea dataOnly="0" labelOnly="1" grandCol="1" outline="0" fieldPosition="0"/>
    </format>
  </formats>
  <chartFormats count="11"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0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9"/>
          </reference>
        </references>
      </pivotArea>
    </chartFormat>
    <chartFormat chart="0" format="1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0"/>
          </reference>
        </references>
      </pivotArea>
    </chartFormat>
    <chartFormat chart="0" format="1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1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1"/>
          </reference>
        </references>
      </pivotArea>
    </chartFormat>
  </chartFormats>
  <pivotTableStyleInfo name="Estilo de tabla dinámica 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>
        <x14:conditionalFormats count="8">
          <x14:conditionalFormat priority="7" id="{85A1CD4D-F31D-455D-B58C-E6469290DE16}">
            <x14:pivotAreas count="1">
              <pivotArea type="data" outline="0" collapsedLevelsAreSubtotals="1" fieldPosition="0">
                <references count="2">
                  <reference field="4294967294" count="1" selected="0">
                    <x v="0"/>
                  </reference>
                  <reference field="1" count="1" selected="0">
                    <x v="2"/>
                  </reference>
                </references>
              </pivotArea>
            </x14:pivotAreas>
          </x14:conditionalFormat>
          <x14:conditionalFormat priority="16" id="{8DF1E6C7-5D69-49D1-8025-AE8B78AA6546}">
            <x14:pivotAreas count="1">
              <pivotArea type="data" outline="0" collapsedLevelsAreSubtotals="1" fieldPosition="0">
                <references count="2">
                  <reference field="4294967294" count="1" selected="0">
                    <x v="0"/>
                  </reference>
                  <reference field="1" count="1" selected="0">
                    <x v="5"/>
                  </reference>
                </references>
              </pivotArea>
            </x14:pivotAreas>
          </x14:conditionalFormat>
          <x14:conditionalFormat priority="17" id="{84DE4F07-E727-4C73-AE29-1D4C44E1922B}">
            <x14:pivotAreas count="1">
              <pivotArea type="data" outline="0" collapsedLevelsAreSubtotals="1" fieldPosition="0">
                <references count="2">
                  <reference field="4294967294" count="1" selected="0">
                    <x v="0"/>
                  </reference>
                  <reference field="1" count="1" selected="0">
                    <x v="4"/>
                  </reference>
                </references>
              </pivotArea>
            </x14:pivotAreas>
          </x14:conditionalFormat>
          <x14:conditionalFormat priority="18" id="{89AB2A6D-6E46-4627-BFDD-62ACB8214849}">
            <x14:pivotAreas count="1">
              <pivotArea type="data" outline="0" collapsedLevelsAreSubtotals="1" fieldPosition="0">
                <references count="2">
                  <reference field="4294967294" count="1" selected="0">
                    <x v="0"/>
                  </reference>
                  <reference field="1" count="1" selected="0">
                    <x v="3"/>
                  </reference>
                </references>
              </pivotArea>
            </x14:pivotAreas>
          </x14:conditionalFormat>
          <x14:conditionalFormat priority="96" id="{578A6BBE-0746-49B8-A379-5CA92DEB79AA}">
            <x14:pivotAreas count="1">
              <pivotArea type="data" grandCol="1" outline="0" collapsedLevelsAreSubtotals="1" fieldPosition="0">
                <references count="1">
                  <reference field="4294967294" count="1" selected="0">
                    <x v="0"/>
                  </reference>
                </references>
              </pivotArea>
            </x14:pivotAreas>
          </x14:conditionalFormat>
          <x14:conditionalFormat priority="89" id="{B74256D8-C2EA-4EA7-A1C5-07F3712318EB}">
            <x14:pivotAreas count="1">
              <pivotArea type="data" outline="0" collapsedLevelsAreSubtotals="1" fieldPosition="0">
                <references count="2">
                  <reference field="4294967294" count="1" selected="0">
                    <x v="0"/>
                  </reference>
                  <reference field="1" count="1" selected="0">
                    <x v="0"/>
                  </reference>
                </references>
              </pivotArea>
            </x14:pivotAreas>
          </x14:conditionalFormat>
          <x14:conditionalFormat priority="4" id="{C5BC4589-334D-49C5-AD2B-43ECB2263BBA}">
            <x14:pivotAreas count="1">
              <pivotArea type="data" outline="0" collapsedLevelsAreSubtotals="1" fieldPosition="0">
                <references count="2">
                  <reference field="4294967294" count="1" selected="0">
                    <x v="0"/>
                  </reference>
                  <reference field="1" count="1" selected="0">
                    <x v="1"/>
                  </reference>
                </references>
              </pivotArea>
            </x14:pivotAreas>
          </x14:conditionalFormat>
          <x14:conditionalFormat priority="3" id="{347E788A-5860-4605-A21F-0E523D13A542}">
            <x14:pivotAreas count="1">
              <pivotArea type="data" outline="0" collapsedLevelsAreSubtotals="1" fieldPosition="0">
                <references count="2">
                  <reference field="4294967294" count="1" selected="0">
                    <x v="0"/>
                  </reference>
                  <reference field="1" count="1" selected="0">
                    <x v="11"/>
                  </reference>
                </references>
              </pivotArea>
            </x14:pivotAreas>
          </x14:conditionalFormat>
        </x14:conditionalFormats>
      </x14:pivotTableDefinition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2" connectionId="2" xr16:uid="{95319C1C-C683-4701-8640-F49E06C1EA50}" autoFormatId="16" applyNumberFormats="0" applyBorderFormats="0" applyFontFormats="0" applyPatternFormats="0" applyAlignmentFormats="0" applyWidthHeightFormats="0">
  <queryTableRefresh nextId="28" unboundColumnsRight="7">
    <queryTableFields count="18">
      <queryTableField id="1" name="ACTIVIDAD" tableColumnId="1"/>
      <queryTableField id="2" name="CIUDAD" tableColumnId="2"/>
      <queryTableField id="24" name="CANAL" tableColumnId="18"/>
      <queryTableField id="3" name="CADENA" tableColumnId="3"/>
      <queryTableField id="4" name="CODIGO PDV" tableColumnId="4"/>
      <queryTableField id="5" name="NOMBRE COMERCIAL" tableColumnId="5"/>
      <queryTableField id="6" name="PREGUNTA" tableColumnId="6"/>
      <queryTableField id="7" name="RTA" tableColumnId="7"/>
      <queryTableField id="8" name="FECHA VISITA" tableColumnId="8"/>
      <queryTableField id="9" name="CODIGO RUTA" tableColumnId="9"/>
      <queryTableField id="10" name="USUARIO" tableColumnId="10"/>
      <queryTableField id="17" dataBound="0" tableColumnId="13"/>
      <queryTableField id="16" dataBound="0" tableColumnId="16"/>
      <queryTableField id="12" dataBound="0" tableColumnId="12"/>
      <queryTableField id="21" dataBound="0" tableColumnId="14"/>
      <queryTableField id="15" dataBound="0" tableColumnId="15"/>
      <queryTableField id="23" dataBound="0" tableColumnId="17"/>
      <queryTableField id="27" dataBound="0" tableColumnId="11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3" xr16:uid="{04183C87-B4DC-436D-9817-A62DA7CA64FC}" autoFormatId="16" applyNumberFormats="0" applyBorderFormats="0" applyFontFormats="0" applyPatternFormats="0" applyAlignmentFormats="0" applyWidthHeightFormats="0">
  <queryTableRefresh nextId="321">
    <queryTableFields count="47">
      <queryTableField id="1" name="ACTIVIDAD" tableColumnId="1"/>
      <queryTableField id="2" name="CIUDAD" tableColumnId="2"/>
      <queryTableField id="3" name="CADENA" tableColumnId="3"/>
      <queryTableField id="4" name="CODIGO PDV" tableColumnId="4"/>
      <queryTableField id="5" name="NOMBRE COMERCIAL" tableColumnId="5"/>
      <queryTableField id="6" name="CONSECUTIVO ENCUESTA" tableColumnId="6"/>
      <queryTableField id="7" name="NOMBRE ENCUESTA" tableColumnId="7"/>
      <queryTableField id="10" name="FECHA VISITA" tableColumnId="10"/>
      <queryTableField id="11" name="CODIGO RUTA" tableColumnId="11"/>
      <queryTableField id="12" name="USUARIO" tableColumnId="12"/>
      <queryTableField id="153" name="SE LOGRA REALIZAR LA AUDITORIA?" tableColumnId="8"/>
      <queryTableField id="154" name="¿CUMPLE HORARIO DE ENTRADA O SALIDA DE LA TIENDA?" tableColumnId="9"/>
      <queryTableField id="155" name="CUENTA CON PANTALON DEL UNIFORME SEGÚN EL CARGO (NEGRO / ROJO / TURQUESA / JEAN)" tableColumnId="13"/>
      <queryTableField id="156" name="CUENTA CON CAMISA DEL UNIFORME Y LOGOS SEGÚN EL CARGO (NEGRA / GRIS / ROJA / TURQUESA) (ES PERMITIDO USAR DEBAJO DE LA CAMISA BUSO MANGA LARGA NEGRO)" tableColumnId="14"/>
      <queryTableField id="54" name="CUENTA CON CALZADO DE ACUERDO AL UNIFORME" tableColumnId="16"/>
      <queryTableField id="157" name="POSEE ALGUNA PRENDA ENCIMA DEL UNIFORME NO AUTORIZADA POR LA MARCA (UNICAMENTE ESTA PERMITIDO CHALECO DE SODIMAC Y EASY)" tableColumnId="15"/>
      <queryTableField id="158" name="EL UNIFORME Y ZAPATOS SE ENCUENTRAN LIMPIOS Y EN BUEN ESTADO" tableColumnId="17"/>
      <queryTableField id="159" name="SU CABELLO LUCE LIMPIO, ORGANIZADO O RECOGIDO" tableColumnId="18"/>
      <queryTableField id="160" name="PRESENTA EXCESO DE MAQUILLAJE QUE NO CUMPLE CON EL CODIGO DE VESTIMENTA" tableColumnId="19"/>
      <queryTableField id="161" name="TIENE TATUAJES O PIERCINGS VISIBLES QUE NO CUMPLE CON EL CODIGO DE VESTIMENTA" tableColumnId="20"/>
      <queryTableField id="162" name="TIENE UÑAS LLAMATIVAS Y/O LARGAS QUE NO CUMPLE CON EL CODIGO DE VESTIMENTA" tableColumnId="21"/>
      <queryTableField id="163" name="USA ACCESORIOS QUE NO CUMPLE CON EL CODIGO DE VESTIMENTA" tableColumnId="22"/>
      <queryTableField id="224" name="EL LINEAL SE ENCUENTRA LIMPIO Y ORGANIZADO (EVIDENCIA POLVO O TIERRA EN EL PRODUCTO Y/O LINEAL)" tableColumnId="23"/>
      <queryTableField id="225" name="LOS PRODUCTOS TIENEN EL PRECIO Y ESTAN ACORDE O CORRESPONDIENTE A CADA REFERENCIA (REVISAR LA FECHA DE IMPRESIÓN DEL PRECIO)" tableColumnId="24"/>
      <queryTableField id="166" name="LOS PRODUCTOS ESTAN SURTIDOS DE ACUERDO A PEPS O FIFO (REVISAR TANTO PRODUCTO SECO COMO HUMEDO)" tableColumnId="25"/>
      <queryTableField id="167" name="CONOCE LOS INFALTABLES DEL PUNTO DE VENTA Y CUENTA CON EL MATERIAL DE APOYO (AYUDAVENTAS INFALTABLES)" tableColumnId="26"/>
      <queryTableField id="168" name="CONOCE Y TIENE SURTIDO DE ACUERDO A LA ESTRATEGIA DE EXHIBICIÓN (ETAPAS DE VIDA - SEGMENTACIÓN DE MARCAS)" tableColumnId="27"/>
      <queryTableField id="208" name="CONOCE EL % DE PARTICIPACIÓN QUE TIENE EN EL PUNTO DE VENTA E INFORMA CUAL ES ESE % (REALIZAR EL EJERCICIO DE CONTAR LAS CARAS PARA VALIDAR SI ES CORRECTO)" tableColumnId="29"/>
      <queryTableField id="282" name="CONOCE LOS INFALTABLES DE PRO PLAN (GATOS Y PERROS) ALIMENTO SECO" tableColumnId="28"/>
      <queryTableField id="283" name="EL PDV CUENTA CON EXHIBICIONES ADICIONALES? (REVISAR Y QUE SE VEA EN EL VIDEO)" tableColumnId="32"/>
      <queryTableField id="284" name="LOS PRECIOS ESTAN EN LINEA CON LOS SUGERIDOS DEL CANAL? (REVISAR Y QUE SE VEA EN EL VIDEO)" tableColumnId="35"/>
      <queryTableField id="209" name="MANEJA MARCA DE PERROS, GATOS O AMBOS, Y HAY PRESENCIA DE LA COMPETENCIA? (EN EL VIDEO DEBE QUEDAR LA VISUAL DE LAS MARCAS DE LA COMPETENCIA PRESENTES EN EL PDV)" tableColumnId="31"/>
      <queryTableField id="285" name="CONOCE EL % DE PARTICIPACIÓN QUE TIENEN LAS MARCAS PURINA DENTRO DEL UNIVERSO?" tableColumnId="40"/>
      <queryTableField id="171" name="SELECCIONE EL CANAL DEL PDV AUDITADO?" tableColumnId="30"/>
      <queryTableField id="286" name="CT - CONOCE EL PRECIO DE LA PAQUETERIA (DOG CHOW 350G / 475G; CAT CHOW 200G? (Si el mercaderista informa que el PDV no lo permite implementar quedaria como N/A)" tableColumnId="41"/>
      <queryTableField id="287" name="CT - CONOCE LAS INNOVACIONES  ALTA PROTEINA? ESTÁ DISPONIBLE EN PDV?" tableColumnId="42"/>
      <queryTableField id="259" name="CT - CONOCE LAS INNOVACIONES - RISTRAS WET? ESTA DISPONIBLE EN PDV?" tableColumnId="34"/>
      <queryTableField id="288" name="CT - CONOCE LAS INNOVACIONES - NUTRICION REFORZADA DE WET? ESTA DISPONIBLE EN PDV?" tableColumnId="44"/>
      <queryTableField id="289" name="CT - LOS PRECIOS DE LAS REFERENCIAS DOG CHOW ESTAN ALINEADOS A LA NUEVA ESTRATEGIA?" tableColumnId="45"/>
      <queryTableField id="174" name="DESEA AÑADIR ALGUNA OBSERVACION / NOVEDAD CON LA AUDITORIA REALIZADA?" tableColumnId="33"/>
      <queryTableField id="229" name="INDIQUE OBSERVACIÓN/NOVEDAD" tableColumnId="43"/>
      <queryTableField id="260" name="CE - SE ENCUENTRAN LAS INNOVACIONES (RENOVACIÓN DE POCUHES PRO PLAN, &quot;FANCY 15 MARZO&quot; FELIX TRIPLE DELICIUS Y MEGAMIX, DOG CHOW POUCHES DE ALTA PROTEINA Y MULTIPROTEINA)" tableColumnId="36"/>
      <queryTableField id="261" name="CE - SE ENCUENTRA EN EL LINEAL LAS REFERENCIAS 1,5 EN PU Y ADU DE LA MARCA EXCELLENT?" tableColumnId="37"/>
      <queryTableField id="262" name="CE - SE ENCUENTRA LA NUEVA REFERENCIA DE EXCELLENT ESTIRILIZADO DE 1K?" tableColumnId="38"/>
      <queryTableField id="290" name="CE - CUENTA CON LA PLANOMETRIA EN PDV (HORIZONTAL/VERTICAL) NO LADEADO?" tableColumnId="46"/>
      <queryTableField id="263" name="CE - SE ENCUENTRA LA REFERENCIA PRO PLAN WET DE SALMON Y/URINARIO" tableColumnId="39"/>
      <queryTableField id="291" name="CE - EL PDV MANEJA SNACKS, ESTAMOS PRESENTES? (REVISAR Y QUE SE VEA EN EL VIDEO)" tableColumnId="47"/>
    </queryTableFields>
  </queryTableRefresh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CIUDAD" xr10:uid="{120D9671-221F-4492-8CE5-D6FBAC33FDB9}" sourceName="CIUDAD">
  <pivotTables>
    <pivotTable tabId="4" name="TablaDinámica11"/>
    <pivotTable tabId="4" name="TablaDinámica12"/>
    <pivotTable tabId="4" name="TablaDinámica14"/>
  </pivotTables>
  <data>
    <tabular pivotCacheId="602717627">
      <items count="12">
        <i x="1" s="1"/>
        <i x="2" s="1"/>
        <i x="0" s="1"/>
        <i x="8" s="1" nd="1"/>
        <i x="9" s="1" nd="1"/>
        <i x="3" s="1" nd="1"/>
        <i x="4" s="1" nd="1"/>
        <i x="7" s="1" nd="1"/>
        <i x="11" s="1" nd="1"/>
        <i x="5" s="1" nd="1"/>
        <i x="6" s="1" nd="1"/>
        <i x="10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NOMBRE_COMERCIAL" xr10:uid="{B44763D8-97E2-4FF2-BF49-5A2C3A57FF54}" sourceName="NOMBRE COMERCIAL">
  <pivotTables>
    <pivotTable tabId="4" name="TablaDinámica11"/>
    <pivotTable tabId="4" name="TablaDinámica12"/>
    <pivotTable tabId="4" name="TablaDinámica14"/>
  </pivotTables>
  <data>
    <tabular pivotCacheId="602717627">
      <items count="154">
        <i x="1" s="1"/>
        <i x="0" s="1"/>
        <i x="2" s="1"/>
        <i x="66" s="1" nd="1"/>
        <i x="58" s="1" nd="1"/>
        <i x="23" s="1" nd="1"/>
        <i x="22" s="1" nd="1"/>
        <i x="34" s="1" nd="1"/>
        <i x="17" s="1" nd="1"/>
        <i x="78" s="1" nd="1"/>
        <i x="71" s="1" nd="1"/>
        <i x="131" s="1" nd="1"/>
        <i x="130" s="1" nd="1"/>
        <i x="64" s="1" nd="1"/>
        <i x="68" s="1" nd="1"/>
        <i x="65" s="1" nd="1"/>
        <i x="121" s="1" nd="1"/>
        <i x="83" s="1" nd="1"/>
        <i x="75" s="1" nd="1"/>
        <i x="72" s="1" nd="1"/>
        <i x="77" s="1" nd="1"/>
        <i x="51" s="1" nd="1"/>
        <i x="44" s="1" nd="1"/>
        <i x="35" s="1" nd="1"/>
        <i x="81" s="1" nd="1"/>
        <i x="42" s="1" nd="1"/>
        <i x="16" s="1" nd="1"/>
        <i x="50" s="1" nd="1"/>
        <i x="43" s="1" nd="1"/>
        <i x="88" s="1" nd="1"/>
        <i x="87" s="1" nd="1"/>
        <i x="33" s="1" nd="1"/>
        <i x="39" s="1" nd="1"/>
        <i x="31" s="1" nd="1"/>
        <i x="53" s="1" nd="1"/>
        <i x="129" s="1" nd="1"/>
        <i x="52" s="1" nd="1"/>
        <i x="48" s="1" nd="1"/>
        <i x="15" s="1" nd="1"/>
        <i x="8" s="1" nd="1"/>
        <i x="13" s="1" nd="1"/>
        <i x="55" s="1" nd="1"/>
        <i x="32" s="1" nd="1"/>
        <i x="26" s="1" nd="1"/>
        <i x="59" s="1" nd="1"/>
        <i x="38" s="1" nd="1"/>
        <i x="28" s="1" nd="1"/>
        <i x="80" s="1" nd="1"/>
        <i x="128" s="1" nd="1"/>
        <i x="54" s="1" nd="1"/>
        <i x="11" s="1" nd="1"/>
        <i x="124" s="1" nd="1"/>
        <i x="120" s="1" nd="1"/>
        <i x="14" s="1" nd="1"/>
        <i x="4" s="1" nd="1"/>
        <i x="132" s="1" nd="1"/>
        <i x="133" s="1" nd="1"/>
        <i x="126" s="1" nd="1"/>
        <i x="125" s="1" nd="1"/>
        <i x="5" s="1" nd="1"/>
        <i x="27" s="1" nd="1"/>
        <i x="9" s="1" nd="1"/>
        <i x="21" s="1" nd="1"/>
        <i x="69" s="1" nd="1"/>
        <i x="49" s="1" nd="1"/>
        <i x="84" s="1" nd="1"/>
        <i x="67" s="1" nd="1"/>
        <i x="119" s="1" nd="1"/>
        <i x="18" s="1" nd="1"/>
        <i x="24" s="1" nd="1"/>
        <i x="47" s="1" nd="1"/>
        <i x="118" s="1" nd="1"/>
        <i x="30" s="1" nd="1"/>
        <i x="134" s="1" nd="1"/>
        <i x="12" s="1" nd="1"/>
        <i x="7" s="1" nd="1"/>
        <i x="56" s="1" nd="1"/>
        <i x="29" s="1" nd="1"/>
        <i x="6" s="1" nd="1"/>
        <i x="61" s="1" nd="1"/>
        <i x="82" s="1" nd="1"/>
        <i x="63" s="1" nd="1"/>
        <i x="41" s="1" nd="1"/>
        <i x="45" s="1" nd="1"/>
        <i x="20" s="1" nd="1"/>
        <i x="79" s="1" nd="1"/>
        <i x="36" s="1" nd="1"/>
        <i x="25" s="1" nd="1"/>
        <i x="96" s="1" nd="1"/>
        <i x="113" s="1" nd="1"/>
        <i x="111" s="1" nd="1"/>
        <i x="141" s="1" nd="1"/>
        <i x="135" s="1" nd="1"/>
        <i x="138" s="1" nd="1"/>
        <i x="137" s="1" nd="1"/>
        <i x="3" s="1" nd="1"/>
        <i x="116" s="1" nd="1"/>
        <i x="147" s="1" nd="1"/>
        <i x="46" s="1" nd="1"/>
        <i x="117" s="1" nd="1"/>
        <i x="136" s="1" nd="1"/>
        <i x="95" s="1" nd="1"/>
        <i x="57" s="1" nd="1"/>
        <i x="107" s="1" nd="1"/>
        <i x="37" s="1" nd="1"/>
        <i x="143" s="1" nd="1"/>
        <i x="127" s="1" nd="1"/>
        <i x="115" s="1" nd="1"/>
        <i x="70" s="1" nd="1"/>
        <i x="90" s="1" nd="1"/>
        <i x="145" s="1" nd="1"/>
        <i x="103" s="1" nd="1"/>
        <i x="73" s="1" nd="1"/>
        <i x="101" s="1" nd="1"/>
        <i x="89" s="1" nd="1"/>
        <i x="91" s="1" nd="1"/>
        <i x="152" s="1" nd="1"/>
        <i x="97" s="1" nd="1"/>
        <i x="104" s="1" nd="1"/>
        <i x="76" s="1" nd="1"/>
        <i x="149" s="1" nd="1"/>
        <i x="85" s="1" nd="1"/>
        <i x="92" s="1" nd="1"/>
        <i x="74" s="1" nd="1"/>
        <i x="148" s="1" nd="1"/>
        <i x="93" s="1" nd="1"/>
        <i x="146" s="1" nd="1"/>
        <i x="123" s="1" nd="1"/>
        <i x="40" s="1" nd="1"/>
        <i x="150" s="1" nd="1"/>
        <i x="109" s="1" nd="1"/>
        <i x="60" s="1" nd="1"/>
        <i x="105" s="1" nd="1"/>
        <i x="112" s="1" nd="1"/>
        <i x="94" s="1" nd="1"/>
        <i x="153" s="1" nd="1"/>
        <i x="151" s="1" nd="1"/>
        <i x="108" s="1" nd="1"/>
        <i x="102" s="1" nd="1"/>
        <i x="86" s="1" nd="1"/>
        <i x="98" s="1" nd="1"/>
        <i x="106" s="1" nd="1"/>
        <i x="99" s="1" nd="1"/>
        <i x="110" s="1" nd="1"/>
        <i x="100" s="1" nd="1"/>
        <i x="144" s="1" nd="1"/>
        <i x="139" s="1" nd="1"/>
        <i x="10" s="1" nd="1"/>
        <i x="142" s="1" nd="1"/>
        <i x="140" s="1" nd="1"/>
        <i x="122" s="1" nd="1"/>
        <i x="62" s="1" nd="1"/>
        <i x="19" s="1" nd="1"/>
        <i x="114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IUDAD" xr10:uid="{15D7A5B9-999F-403C-A90B-E5BB31E9BCF9}" cache="SegmentaciónDeDatos_CIUDAD" caption="CIUDAD" style="SlicerStyleOther1" rowHeight="251883"/>
  <slicer name="NOMBRE COMERCIAL" xr10:uid="{6085962D-64C6-49BC-8B99-624C8A6924CE}" cache="SegmentaciónDeDatos_NOMBRE_COMERCIAL" caption="NOMBRE COMERCIAL" style="SlicerStyleOther1" rowHeight="251883"/>
</slicer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7FBBA3F-C205-4AFF-A76D-34CFCE9A6BBA}" name="Tabla2__2" displayName="Tabla2__2" ref="A1:R99" tableType="queryTable" totalsRowShown="0" dataDxfId="115">
  <sortState xmlns:xlrd2="http://schemas.microsoft.com/office/spreadsheetml/2017/richdata2" ref="A2:R99">
    <sortCondition ref="I1:I99"/>
  </sortState>
  <tableColumns count="18">
    <tableColumn id="1" xr3:uid="{F8980204-6799-4FD6-9D3F-ACBAADC7880C}" uniqueName="1" name="ACTIVIDAD" queryTableFieldId="1" dataDxfId="114"/>
    <tableColumn id="2" xr3:uid="{1473C919-5D8D-427F-BA10-68EF03B2B653}" uniqueName="2" name="CIUDAD" queryTableFieldId="2" dataDxfId="113"/>
    <tableColumn id="18" xr3:uid="{20FCDFA3-8687-4CA1-9A5B-AEA6FCAD9592}" uniqueName="18" name="CANAL" queryTableFieldId="24" dataDxfId="112"/>
    <tableColumn id="3" xr3:uid="{271FB548-EFFC-45F2-8177-856C35C071DC}" uniqueName="3" name="CADENA" queryTableFieldId="3" dataDxfId="111"/>
    <tableColumn id="4" xr3:uid="{F71A0A19-15B2-4D1D-905C-70CEC9D6AF47}" uniqueName="4" name="CODIGO PDV" queryTableFieldId="4" dataDxfId="110"/>
    <tableColumn id="5" xr3:uid="{E4FEADCA-E2DE-4789-9C78-5F8FB6496823}" uniqueName="5" name="NOMBRE COMERCIAL" queryTableFieldId="5" dataDxfId="109"/>
    <tableColumn id="6" xr3:uid="{5C99D03B-478A-40A2-B3AE-437E7D31990C}" uniqueName="6" name="PREGUNTA" queryTableFieldId="6" dataDxfId="108"/>
    <tableColumn id="7" xr3:uid="{A5EA4B65-C844-4AE4-AE87-CD2AEFA3E4BD}" uniqueName="7" name="RTA" queryTableFieldId="7" dataDxfId="107"/>
    <tableColumn id="8" xr3:uid="{8D71EA04-388B-4C72-AD67-882BB5218CAB}" uniqueName="8" name="FECHA VISITA" queryTableFieldId="8" dataDxfId="106"/>
    <tableColumn id="9" xr3:uid="{11007230-BF6F-4DA6-9C0C-28D77621834B}" uniqueName="9" name="CODIGO RUTA" queryTableFieldId="9" dataDxfId="105"/>
    <tableColumn id="10" xr3:uid="{CF07A078-D8EF-4D63-9B89-6F593201E2E4}" uniqueName="10" name="USUARIO" queryTableFieldId="10" dataDxfId="104"/>
    <tableColumn id="13" xr3:uid="{F212FAAC-215E-43D0-BC9D-3AA543F277F7}" uniqueName="13" name="MYSTERY EFECTIVO" queryTableFieldId="17" dataDxfId="103">
      <calculatedColumnFormula>_xlfn.XLOOKUP(Tabla2__2[[#This Row],[CODIGO RUTA]],'DATA INFORME'!I:I,'DATA INFORME'!K:K)</calculatedColumnFormula>
    </tableColumn>
    <tableColumn id="16" xr3:uid="{21F854B2-004D-4505-9E1A-A9AC1F214887}" uniqueName="16" name="CLUSTER" queryTableFieldId="16" dataDxfId="102">
      <calculatedColumnFormula>IF(Tabla2__2[[#This Row],[MYSTERY EFECTIVO]]="SI",_xlfn.XLOOKUP(Tabla2__2[[#This Row],[PREGUNTA]],ENCUESTA!G:G,ENCUESTA!D:D),"N/A")</calculatedColumnFormula>
    </tableColumn>
    <tableColumn id="12" xr3:uid="{AFEBD2E2-BCC0-467F-B0E5-D144F68133B0}" uniqueName="12" name="TOTAL PUNTAJE" queryTableFieldId="12" dataDxfId="101">
      <calculatedColumnFormula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calculatedColumnFormula>
    </tableColumn>
    <tableColumn id="14" xr3:uid="{03EC5ACB-C771-49B5-A065-6C73F64EFDA4}" uniqueName="14" name="RTA CORRECTA" queryTableFieldId="21" dataDxfId="100">
      <calculatedColumnFormula>_xlfn.XLOOKUP(Tabla2__2[[#This Row],[PREGUNTA]],ENCUESTA!G:G,ENCUESTA!H:H)</calculatedColumnFormula>
    </tableColumn>
    <tableColumn id="15" xr3:uid="{E8D41959-0664-4224-BEF1-FD955A109471}" uniqueName="15" name="PUNTAJE OBTENIDO" queryTableFieldId="15" dataDxfId="99">
      <calculatedColumnFormula>IF(Tabla2__2[[#This Row],[RTA]]=Tabla2__2[[#This Row],[RTA CORRECTA]],Tabla2__2[[#This Row],[TOTAL PUNTAJE]],0)</calculatedColumnFormula>
    </tableColumn>
    <tableColumn id="17" xr3:uid="{448B051F-50DD-4A27-B120-BB93A9AFD029}" uniqueName="17" name="Columna1" queryTableFieldId="23" dataDxfId="98">
      <calculatedColumnFormula>IF(OR(H2="Dog Chow húmedo",H2="Cat Chow húmedo",H2="Fancy Feast",H2="Felix",H2="Proplan húmedo",H2="One húmedo",H2="Snack Abrazzos",H2="Snak Dentalife",H2="Arenilla Tidy Cat"),N2,0)</calculatedColumnFormula>
    </tableColumn>
    <tableColumn id="11" xr3:uid="{79DA9E2E-4C94-4AA8-A4E3-5A8E5FBA233D}" uniqueName="11" name="Columna2" queryTableFieldId="27" dataDxfId="97"/>
  </tableColumns>
  <tableStyleInfo name="TableStyleLight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06AE8C8-5477-4852-991F-0FB4F9396ED6}" name="Tabla1" displayName="Tabla1" ref="A1:I6" totalsRowShown="0" headerRowDxfId="96" dataDxfId="94" headerRowBorderDxfId="95" tableBorderDxfId="93" totalsRowBorderDxfId="92" headerRowCellStyle="Normal 2" dataCellStyle="Normal 2">
  <tableColumns count="9">
    <tableColumn id="3" xr3:uid="{CEEFCC7D-2B45-4409-9FEE-36A6008A09E3}" name="CANAL" dataDxfId="91" dataCellStyle="Normal 2"/>
    <tableColumn id="1" xr3:uid="{D5DD6073-7452-4C56-A046-CF25B19FCB4F}" name="CIUDAD" dataDxfId="90" dataCellStyle="Normal 2"/>
    <tableColumn id="2" xr3:uid="{304FB0E8-7EB9-4B2E-BDF0-6B1E9D3DF639}" name="CODIGO PDV" dataDxfId="89"/>
    <tableColumn id="4" xr3:uid="{5FFEE965-7C33-4146-8749-C7E79BD9F083}" name="NOMBRE COMERCIAL" dataDxfId="88" dataCellStyle="Normal 2"/>
    <tableColumn id="9" xr3:uid="{56DA6644-1938-47DF-9205-928EAD17CD86}" name="Objetivo Mystery" dataDxfId="87" dataCellStyle="Normal 2"/>
    <tableColumn id="6" xr3:uid="{8587C1B8-25E9-47DF-96EC-0DE9EA854031}" name="#PDV Objetivos" dataDxfId="86"/>
    <tableColumn id="7" xr3:uid="{254582AE-0341-4027-9F60-A63C456EE6EE}" name="#PDV Ejecutados" dataDxfId="85">
      <calculatedColumnFormula>IF(COUNTIFS(Export!I:I,Tabla1[[#This Row],[CODIGO PDV]])&gt;0,1,0)</calculatedColumnFormula>
    </tableColumn>
    <tableColumn id="11" xr3:uid="{EA4A24E0-6A56-4A45-8F19-78AD6DCA277C}" name="# Visitas" dataDxfId="84" dataCellStyle="Normal 2">
      <calculatedColumnFormula>COUNTIFS('DATA INFORME'!D:D,Tabla1[[#This Row],[CODIGO PDV]])</calculatedColumnFormula>
    </tableColumn>
    <tableColumn id="12" xr3:uid="{F623D095-7356-4242-BFFB-11B8E769EF0F}" name="Mystery Ejecutado" dataDxfId="83" dataCellStyle="Normal 2">
      <calculatedColumnFormula>COUNTIFS('DATA INFORME'!D:D,Tabla1[[#This Row],[CODIGO PDV]],'DATA INFORME'!K:K,"SI")</calculatedColumnFormula>
    </tableColumn>
  </tableColumns>
  <tableStyleInfo name="TableStyleLight1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562BD29-73FE-4027-BA12-621401EE7163}" name="Tabla2__3" displayName="Tabla2__3" ref="A1:AU5" tableType="queryTable" totalsRowShown="0" dataDxfId="82">
  <autoFilter ref="A1:AU5" xr:uid="{0562BD29-73FE-4027-BA12-621401EE7163}"/>
  <tableColumns count="47">
    <tableColumn id="1" xr3:uid="{5E36F5EC-EFE4-416F-AE2A-0A34DABD1BE1}" uniqueName="1" name="ACTIVIDAD" queryTableFieldId="1" dataDxfId="81"/>
    <tableColumn id="2" xr3:uid="{2D91E598-A31D-4125-8581-3FD329B9D8A6}" uniqueName="2" name="CIUDAD" queryTableFieldId="2" dataDxfId="80"/>
    <tableColumn id="3" xr3:uid="{BE955660-67C1-4BC9-A7B2-76050F0F9717}" uniqueName="3" name="CADENA" queryTableFieldId="3" dataDxfId="79"/>
    <tableColumn id="4" xr3:uid="{584B1D0E-A845-487E-B24D-3F46D830A3DD}" uniqueName="4" name="CODIGO PDV" queryTableFieldId="4" dataDxfId="78"/>
    <tableColumn id="5" xr3:uid="{5C21200B-0203-45FF-8479-0CBCF5834786}" uniqueName="5" name="NOMBRE COMERCIAL" queryTableFieldId="5" dataDxfId="77"/>
    <tableColumn id="6" xr3:uid="{AF5E9C40-1A6C-47AF-818E-E6BCE6E6B906}" uniqueName="6" name="CONSECUTIVO ENCUESTA" queryTableFieldId="6" dataDxfId="76"/>
    <tableColumn id="7" xr3:uid="{3C3C5756-6C5B-4F83-A4BA-7370A5D3B586}" uniqueName="7" name="NOMBRE ENCUESTA" queryTableFieldId="7" dataDxfId="75"/>
    <tableColumn id="10" xr3:uid="{592470FD-FBDE-42A0-A47E-06AE15D2BD4D}" uniqueName="10" name="FECHA VISITA" queryTableFieldId="10" dataDxfId="74"/>
    <tableColumn id="11" xr3:uid="{2A1045B2-E0F3-426E-AF7C-91A0AAEEA606}" uniqueName="11" name="CODIGO RUTA" queryTableFieldId="11" dataDxfId="73"/>
    <tableColumn id="12" xr3:uid="{7575ACE8-4DCC-44B4-BD89-97F5F6978813}" uniqueName="12" name="USUARIO" queryTableFieldId="12" dataDxfId="72"/>
    <tableColumn id="8" xr3:uid="{1799BF2D-5DA9-4392-984F-66DA565D17B1}" uniqueName="8" name="SE LOGRA REALIZAR LA AUDITORIA?" queryTableFieldId="153" dataDxfId="71"/>
    <tableColumn id="9" xr3:uid="{36AC2E6B-F783-41F9-A395-AD816E6B1B6B}" uniqueName="9" name="¿CUMPLE HORARIO DE ENTRADA O SALIDA DE LA TIENDA?" queryTableFieldId="154" dataDxfId="70"/>
    <tableColumn id="13" xr3:uid="{C51AF687-3DBE-4078-B41B-510ABFCE0684}" uniqueName="13" name="CUENTA CON PANTALON DEL UNIFORME SEGÚN EL CARGO (NEGRO / ROJO / TURQUESA / JEAN)" queryTableFieldId="155" dataDxfId="69"/>
    <tableColumn id="14" xr3:uid="{341F0A1D-8FCD-41D6-8964-34CCED3ED411}" uniqueName="14" name="CUENTA CON CAMISA DEL UNIFORME Y LOGOS SEGÚN EL CARGO (NEGRA / GRIS / ROJA / TURQUESA) (ES PERMITIDO USAR DEBAJO DE LA CAMISA BUSO MANGA LARGA NEGRO)" queryTableFieldId="156" dataDxfId="68"/>
    <tableColumn id="16" xr3:uid="{D2371F42-BC07-4548-B6B4-80B991018D4D}" uniqueName="16" name="CUENTA CON CALZADO DE ACUERDO AL UNIFORME" queryTableFieldId="54" dataDxfId="67"/>
    <tableColumn id="15" xr3:uid="{9BB8CF8A-778E-4204-AC89-28DFE270E157}" uniqueName="15" name="POSEE ALGUNA PRENDA ENCIMA DEL UNIFORME NO AUTORIZADA POR LA MARCA (UNICAMENTE ESTA PERMITIDO CHALECO DE SODIMAC Y EASY)" queryTableFieldId="157" dataDxfId="66"/>
    <tableColumn id="17" xr3:uid="{F5E30CB3-007B-4336-B1FC-B61B58699F7A}" uniqueName="17" name="EL UNIFORME Y ZAPATOS SE ENCUENTRAN LIMPIOS Y EN BUEN ESTADO" queryTableFieldId="158" dataDxfId="65"/>
    <tableColumn id="18" xr3:uid="{3D3D39A7-BDA7-4332-84A1-F6CA631ED8B1}" uniqueName="18" name="SU CABELLO LUCE LIMPIO, ORGANIZADO O RECOGIDO" queryTableFieldId="159" dataDxfId="64"/>
    <tableColumn id="19" xr3:uid="{10DB44B2-E41E-4EF2-8742-4966C6A2BC32}" uniqueName="19" name="PRESENTA EXCESO DE MAQUILLAJE QUE NO CUMPLE CON EL CODIGO DE VESTIMENTA" queryTableFieldId="160" dataDxfId="63"/>
    <tableColumn id="20" xr3:uid="{6AAEAE78-D4F5-4752-93C8-5B7CAB0DD784}" uniqueName="20" name="TIENE TATUAJES O PIERCINGS VISIBLES QUE NO CUMPLE CON EL CODIGO DE VESTIMENTA" queryTableFieldId="161" dataDxfId="62"/>
    <tableColumn id="21" xr3:uid="{296B1AC1-D069-4B4E-93B0-CF0ED2A976DD}" uniqueName="21" name="TIENE UÑAS LLAMATIVAS Y/O LARGAS QUE NO CUMPLE CON EL CODIGO DE VESTIMENTA" queryTableFieldId="162" dataDxfId="61"/>
    <tableColumn id="22" xr3:uid="{437C56A5-8D82-4008-AE1E-7ABA17C881D7}" uniqueName="22" name="USA ACCESORIOS QUE NO CUMPLE CON EL CODIGO DE VESTIMENTA" queryTableFieldId="163" dataDxfId="60"/>
    <tableColumn id="23" xr3:uid="{A36C4C98-3812-47CA-915B-31EEEB045E56}" uniqueName="23" name="EL LINEAL SE ENCUENTRA LIMPIO Y ORGANIZADO (EVIDENCIA POLVO O TIERRA EN EL PRODUCTO Y/O LINEAL)" queryTableFieldId="224" dataDxfId="59"/>
    <tableColumn id="24" xr3:uid="{EAE759F8-422F-46A9-B534-E52C16DAC6AD}" uniqueName="24" name="LOS PRODUCTOS TIENEN EL PRECIO Y ESTAN ACORDE O CORRESPONDIENTE A CADA REFERENCIA (REVISAR LA FECHA DE IMPRESIÓN DEL PRECIO)" queryTableFieldId="225" dataDxfId="58"/>
    <tableColumn id="25" xr3:uid="{B4B5D1D5-56F2-4B7A-BCBA-13AA0E0264D8}" uniqueName="25" name="LOS PRODUCTOS ESTAN SURTIDOS DE ACUERDO A PEPS O FIFO (REVISAR TANTO PRODUCTO SECO COMO HUMEDO)" queryTableFieldId="166" dataDxfId="57"/>
    <tableColumn id="26" xr3:uid="{0AA072D5-5A98-4885-9864-1784A7BF8B3A}" uniqueName="26" name="CONOCE LOS INFALTABLES DEL PUNTO DE VENTA Y CUENTA CON EL MATERIAL DE APOYO (AYUDAVENTAS INFALTABLES)" queryTableFieldId="167" dataDxfId="56"/>
    <tableColumn id="27" xr3:uid="{DF850D57-800D-4F55-98EB-C0D5AE4AEFEC}" uniqueName="27" name="CONOCE Y TIENE SURTIDO DE ACUERDO A LA ESTRATEGIA DE EXHIBICIÓN (ETAPAS DE VIDA - SEGMENTACIÓN DE MARCAS)" queryTableFieldId="168" dataDxfId="55"/>
    <tableColumn id="29" xr3:uid="{575B9007-B7F5-45EF-9157-72BDBAD6022C}" uniqueName="29" name="CONOCE EL % DE PARTICIPACIÓN QUE TIENE EN EL PUNTO DE VENTA E INFORMA CUAL ES ESE % (REALIZAR EL EJERCICIO DE CONTAR LAS CARAS PARA VALIDAR SI ES CORRECTO)" queryTableFieldId="208" dataDxfId="54"/>
    <tableColumn id="28" xr3:uid="{FF83C7C7-FB0C-4D5D-BA2D-3F8AB0210441}" uniqueName="28" name="CONOCE LOS INFALTABLES DE PRO PLAN (GATOS Y PERROS) ALIMENTO SECO" queryTableFieldId="282" dataDxfId="53"/>
    <tableColumn id="32" xr3:uid="{B5350FA2-7DC5-40D2-A9C6-58F3B1BAD4FF}" uniqueName="32" name="EL PDV CUENTA CON EXHIBICIONES ADICIONALES? (REVISAR Y QUE SE VEA EN EL VIDEO)" queryTableFieldId="283" dataDxfId="52"/>
    <tableColumn id="35" xr3:uid="{8C2241F0-8A59-42C0-B8F2-2F8028D32B82}" uniqueName="35" name="LOS PRECIOS ESTAN EN LINEA CON LOS SUGERIDOS DEL CANAL? (REVISAR Y QUE SE VEA EN EL VIDEO)" queryTableFieldId="284" dataDxfId="51"/>
    <tableColumn id="31" xr3:uid="{EE5EB200-F174-43B0-A7A4-B3C311191E4F}" uniqueName="31" name="MANEJA MARCA DE PERROS, GATOS O AMBOS, Y HAY PRESENCIA DE LA COMPETENCIA? (EN EL VIDEO DEBE QUEDAR LA VISUAL DE LAS MARCAS DE LA COMPETENCIA PRESENTES EN EL PDV)" queryTableFieldId="209" dataDxfId="50"/>
    <tableColumn id="40" xr3:uid="{6578F30B-862B-4B0B-A753-54FB93C5A124}" uniqueName="40" name="CONOCE EL % DE PARTICIPACIÓN QUE TIENEN LAS MARCAS PURINA DENTRO DEL UNIVERSO?" queryTableFieldId="285" dataDxfId="49"/>
    <tableColumn id="30" xr3:uid="{0933B4A0-AFA3-4603-BC08-EC388F0134D0}" uniqueName="30" name="SELECCIONE EL CANAL DEL PDV AUDITADO?" queryTableFieldId="171" dataDxfId="48"/>
    <tableColumn id="41" xr3:uid="{CE38D8FF-A1EA-4490-8B3A-A35A2B8CDB3C}" uniqueName="41" name="CT - CONOCE EL PRECIO DE LA PAQUETERIA (DOG CHOW 350G / 475G; CAT CHOW 200G? (Si el mercaderista informa que el PDV no lo permite implementar quedaria como N/A)" queryTableFieldId="286" dataDxfId="47"/>
    <tableColumn id="42" xr3:uid="{3C9C7BD0-324D-427A-9F95-3272AF61AE74}" uniqueName="42" name="CT - CONOCE LAS INNOVACIONES  ALTA PROTEINA? ESTÁ DISPONIBLE EN PDV?" queryTableFieldId="287" dataDxfId="46"/>
    <tableColumn id="34" xr3:uid="{BBB822A1-1ABD-401D-B324-D05B16AA68B6}" uniqueName="34" name="CT - CONOCE LAS INNOVACIONES - RISTRAS WET? ESTA DISPONIBLE EN PDV?" queryTableFieldId="259" dataDxfId="45"/>
    <tableColumn id="44" xr3:uid="{7E562DAB-46FE-4A80-A29D-5E04BD91D32F}" uniqueName="44" name="CT - CONOCE LAS INNOVACIONES - NUTRICION REFORZADA DE WET? ESTA DISPONIBLE EN PDV?" queryTableFieldId="288" dataDxfId="44"/>
    <tableColumn id="45" xr3:uid="{FE4E5AA9-3AD4-4F03-B45A-33117B83AB9B}" uniqueName="45" name="CT - LOS PRECIOS DE LAS REFERENCIAS DOG CHOW ESTAN ALINEADOS A LA NUEVA ESTRATEGIA?" queryTableFieldId="289" dataDxfId="43"/>
    <tableColumn id="33" xr3:uid="{5353CB55-2C8E-4597-ACE2-53C8819B4ACE}" uniqueName="33" name="DESEA AÑADIR ALGUNA OBSERVACION / NOVEDAD CON LA AUDITORIA REALIZADA?" queryTableFieldId="174" dataDxfId="42"/>
    <tableColumn id="43" xr3:uid="{06914258-B368-4E26-907B-BE15721EA9BD}" uniqueName="43" name="INDIQUE OBSERVACIÓN/NOVEDAD" queryTableFieldId="229" dataDxfId="41"/>
    <tableColumn id="36" xr3:uid="{EE683747-B2B2-4B23-ABE5-837084EE774D}" uniqueName="36" name="CE - SE ENCUENTRAN LAS INNOVACIONES (RENOVACIÓN DE POCUHES PRO PLAN, &quot;FANCY 15 MARZO&quot; FELIX TRIPLE DELICIUS Y MEGAMIX, DOG CHOW POUCHES DE ALTA PROTEINA Y MULTIPROTEINA)" queryTableFieldId="260" dataDxfId="40"/>
    <tableColumn id="37" xr3:uid="{7028EA19-27FF-4F0A-9B08-BD20824E0A6F}" uniqueName="37" name="CE - SE ENCUENTRA EN EL LINEAL LAS REFERENCIAS 1,5 EN PU Y ADU DE LA MARCA EXCELLENT?" queryTableFieldId="261" dataDxfId="39"/>
    <tableColumn id="38" xr3:uid="{9B0B5248-548E-496B-BA4C-DEDE6BC927A6}" uniqueName="38" name="CE - SE ENCUENTRA LA NUEVA REFERENCIA DE EXCELLENT ESTIRILIZADO DE 1K?" queryTableFieldId="262" dataDxfId="38"/>
    <tableColumn id="46" xr3:uid="{F1281A26-D30F-48A1-B70E-82F3BFF96E2C}" uniqueName="46" name="CE - CUENTA CON LA PLANOMETRIA EN PDV (HORIZONTAL/VERTICAL) NO LADEADO?" queryTableFieldId="290" dataDxfId="37"/>
    <tableColumn id="39" xr3:uid="{3461FEDC-7D03-4775-984E-F4B46D86AE2A}" uniqueName="39" name="CE - SE ENCUENTRA LA REFERENCIA PRO PLAN WET DE SALMON Y/URINARIO" queryTableFieldId="263" dataDxfId="36"/>
    <tableColumn id="47" xr3:uid="{05F80F04-FE2B-4E9C-A638-A9B39852045C}" uniqueName="47" name="CE - EL PDV MANEJA SNACKS, ESTAMOS PRESENTES? (REVISAR Y QUE SE VEA EN EL VIDEO)" queryTableFieldId="291" dataDxfId="35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F097FD5-2AE4-4313-BF77-CBF36E66D478}" name="Tabla2" displayName="Tabla2" ref="A1:AC99" totalsRowShown="0" dataDxfId="34">
  <tableColumns count="29">
    <tableColumn id="1" xr3:uid="{EEAB5D40-1395-44AC-989B-7BEBDB594890}" name="ACTIVIDAD" dataDxfId="33"/>
    <tableColumn id="2" xr3:uid="{7135FC02-E21A-4459-956C-B095998917BA}" name="REGIONAL" dataDxfId="32"/>
    <tableColumn id="3" xr3:uid="{A676BE8F-9D25-4608-AFA9-335EE953599F}" name="CIUDAD" dataDxfId="31"/>
    <tableColumn id="4" xr3:uid="{8C438510-9FA2-4A67-81E2-F5A249D8C2D8}" name="CANAL" dataDxfId="30"/>
    <tableColumn id="5" xr3:uid="{55468C83-E61B-4AC3-8AB6-7842CA8A8685}" name="CADENA" dataDxfId="29"/>
    <tableColumn id="6" xr3:uid="{319677CB-3518-4692-9804-576A90B637C6}" name="SUBCADENA" dataDxfId="28"/>
    <tableColumn id="7" xr3:uid="{280B06EB-BEEB-41FF-BD4D-C86267C96B51}" name="ZONA" dataDxfId="27"/>
    <tableColumn id="8" xr3:uid="{38318117-E4E5-4BBD-BCB8-A0CF5740AD2E}" name="RV" dataDxfId="26"/>
    <tableColumn id="9" xr3:uid="{AE249958-DA07-4D5E-8893-DA47B2F89DBB}" name="CODIGO PDV" dataDxfId="25"/>
    <tableColumn id="10" xr3:uid="{5063BA25-7363-4804-9209-6EF1C7FD9552}" name="NOMBRE COMERCIAL" dataDxfId="24"/>
    <tableColumn id="11" xr3:uid="{1CA31434-5FCA-4588-9EF7-31A85DF89C42}" name="CODIGO EAN" dataDxfId="23"/>
    <tableColumn id="12" xr3:uid="{F4C77DD5-927D-43C6-A19F-C551C82B3D0D}" name="TIPO PUNTO VENTA" dataDxfId="22"/>
    <tableColumn id="13" xr3:uid="{EF48160A-97DF-4C9A-9BBF-2ECC73BF528F}" name="CONSECUTIVO ENCUESTA" dataDxfId="21"/>
    <tableColumn id="14" xr3:uid="{6FA0BAC5-63D5-4D95-B588-F0B164135E47}" name="NOMBRE ENCUESTA" dataDxfId="20"/>
    <tableColumn id="15" xr3:uid="{7C6BC3DB-B9BC-4C72-ADB7-0BB7A62378BB}" name="PREGUNTA" dataDxfId="19"/>
    <tableColumn id="16" xr3:uid="{AB325775-AFD1-4793-A618-BF02FE3029AE}" name="RESPUESTA" dataDxfId="18"/>
    <tableColumn id="17" xr3:uid="{85D12482-E7F3-4879-B4F0-D80F64421259}" name="CODIGO FOTO" dataDxfId="17"/>
    <tableColumn id="18" xr3:uid="{01036A0B-7510-4B37-96FC-1C395DEDC179}" name="OBSERVACION" dataDxfId="16"/>
    <tableColumn id="19" xr3:uid="{2F24E07E-80CB-4EA2-9555-9AEB9E02C9EF}" name="FECHA VISITA" dataDxfId="15"/>
    <tableColumn id="20" xr3:uid="{DC9D56CE-D3BF-4EEF-90B5-C3152AB2A8A8}" name="FECHA INICIO VISITA" dataDxfId="14"/>
    <tableColumn id="21" xr3:uid="{8DDE28A9-EDD9-412B-B7A2-DF2644A996E9}" name="FECHA CREACIÓN RESPUESTA" dataDxfId="13"/>
    <tableColumn id="22" xr3:uid="{3A74E72D-F4BF-4E54-8634-EEEC35A8C032}" name="CODIGO RUTA" dataDxfId="12"/>
    <tableColumn id="23" xr3:uid="{0ADFC93D-A4B4-4C17-8A6B-A6D563B99FCD}" name="CLIENTE" dataDxfId="11"/>
    <tableColumn id="24" xr3:uid="{6908F565-FB85-4368-B2F7-297DF2BEFBCD}" name="CODIGO EXHIBICION" dataDxfId="10"/>
    <tableColumn id="25" xr3:uid="{AA5CE162-90D2-43B1-96A0-970F0C412A96}" name="NOMBRE EXHIBICION" dataDxfId="9"/>
    <tableColumn id="26" xr3:uid="{D2023860-446B-430D-8595-9C2C1438BED3}" name="NOMBRE USUARIO" dataDxfId="8"/>
    <tableColumn id="27" xr3:uid="{F11E0B94-0622-411D-9CA7-B259829B8A9F}" name="USUARIO" dataDxfId="7"/>
    <tableColumn id="28" xr3:uid="{E1B013E5-0581-4476-9D6C-3AFBAC21C681}" name="NOMBRE SUPERVISOR " dataDxfId="6"/>
    <tableColumn id="29" xr3:uid="{B64E6504-C110-44E6-B203-6C06A1F0FFB1}" name="USUARIO SUPERVISOR" dataDxfId="5"/>
  </tableColumns>
  <tableStyleInfo name="TableStyleLight1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microsoft.com/office/2007/relationships/slicer" Target="../slicers/slicer1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drive.google.com/file/d/1-k_iYHs27SP3Pyan0JRgHUezBlo6CFTi/view?usp=sharing" TargetMode="External"/><Relationship Id="rId3" Type="http://schemas.openxmlformats.org/officeDocument/2006/relationships/hyperlink" Target="https://drive.google.com/file/d/1i-EhC7gWFDq6t17o8tZgNN00YeSuEEjt/view?usp=drive_link" TargetMode="External"/><Relationship Id="rId7" Type="http://schemas.openxmlformats.org/officeDocument/2006/relationships/hyperlink" Target="https://drive.google.com/file/d/1q4znj-sZYga0AGFWHBAxPFPfPNRB6Drl/view?usp=sharing" TargetMode="External"/><Relationship Id="rId2" Type="http://schemas.openxmlformats.org/officeDocument/2006/relationships/hyperlink" Target="https://drive.google.com/file/d/19OJZWYs6MM66MQoayrtCJ11k_8l2e8tL/view?usp=drive_link" TargetMode="External"/><Relationship Id="rId1" Type="http://schemas.openxmlformats.org/officeDocument/2006/relationships/hyperlink" Target="https://drive.google.com/file/d/10t_yH0ROg7i8Mc4TojaEcVU1S8hhkxjD/view?usp=drive_link" TargetMode="External"/><Relationship Id="rId6" Type="http://schemas.openxmlformats.org/officeDocument/2006/relationships/hyperlink" Target="https://drive.google.com/file/d/1D_d3zZVP0HjIg_r9FuHzk3CQiUTP1leV/view?usp=sharing" TargetMode="External"/><Relationship Id="rId5" Type="http://schemas.openxmlformats.org/officeDocument/2006/relationships/hyperlink" Target="https://drive.google.com/file/d/13R7OqzE4i4N-h6ULSWvUdLG2x23aLifX/view?usp=drive_link" TargetMode="External"/><Relationship Id="rId10" Type="http://schemas.openxmlformats.org/officeDocument/2006/relationships/hyperlink" Target="https://drive.google.com/file/d/1ionukm8SW-5XhkhNes0tc-1J0JZppf_T/view?usp=sharing" TargetMode="External"/><Relationship Id="rId4" Type="http://schemas.openxmlformats.org/officeDocument/2006/relationships/hyperlink" Target="https://drive.google.com/file/d/1JGLyWrDAjLXygPnVmm6PgFYUk1ALW_Fg/view?usp=drive_link" TargetMode="External"/><Relationship Id="rId9" Type="http://schemas.openxmlformats.org/officeDocument/2006/relationships/hyperlink" Target="https://drive.google.com/file/d/1c79rCJlQAVGf_z2Yf1UjzhYW3Wi0XXt7/view?usp=sharing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CFCE70-CB0C-4295-95CE-F28AA71E4DBA}">
  <sheetPr codeName="Hoja1"/>
  <dimension ref="A1:U73"/>
  <sheetViews>
    <sheetView showGridLines="0" tabSelected="1" zoomScale="90" zoomScaleNormal="90" workbookViewId="0">
      <selection activeCell="E12" sqref="E12"/>
    </sheetView>
  </sheetViews>
  <sheetFormatPr baseColWidth="10" defaultColWidth="11.453125" defaultRowHeight="14.5" x14ac:dyDescent="0.35"/>
  <cols>
    <col min="1" max="1" width="38.1796875" customWidth="1"/>
    <col min="2" max="2" width="1.81640625" style="46" customWidth="1"/>
    <col min="3" max="3" width="8.54296875" customWidth="1"/>
    <col min="4" max="4" width="24.6328125" customWidth="1"/>
    <col min="5" max="5" width="23.6328125" bestFit="1" customWidth="1"/>
    <col min="6" max="6" width="25.6328125" bestFit="1" customWidth="1"/>
    <col min="7" max="7" width="19.81640625" customWidth="1"/>
    <col min="8" max="8" width="10.81640625" customWidth="1"/>
    <col min="9" max="9" width="11.453125" customWidth="1"/>
    <col min="10" max="10" width="12.1796875" customWidth="1"/>
    <col min="11" max="11" width="16.81640625" customWidth="1"/>
    <col min="12" max="12" width="16.453125" customWidth="1"/>
    <col min="13" max="13" width="18.453125" customWidth="1"/>
    <col min="14" max="14" width="11.81640625" customWidth="1"/>
  </cols>
  <sheetData>
    <row r="1" spans="1:10" ht="23.5" customHeight="1" x14ac:dyDescent="0.35">
      <c r="A1" s="82" t="s">
        <v>255</v>
      </c>
    </row>
    <row r="2" spans="1:10" x14ac:dyDescent="0.35">
      <c r="A2" s="83"/>
    </row>
    <row r="3" spans="1:10" ht="20" x14ac:dyDescent="0.4">
      <c r="A3" s="83"/>
      <c r="D3" s="6" t="s">
        <v>0</v>
      </c>
      <c r="E3" s="3"/>
      <c r="F3" s="3"/>
      <c r="G3" s="3"/>
      <c r="H3" s="3"/>
      <c r="I3" s="3"/>
      <c r="J3" s="3"/>
    </row>
    <row r="4" spans="1:10" x14ac:dyDescent="0.35">
      <c r="D4" s="13" t="s">
        <v>1</v>
      </c>
      <c r="E4" s="14" t="s">
        <v>2</v>
      </c>
      <c r="F4" s="14" t="s">
        <v>3</v>
      </c>
      <c r="G4" s="15" t="s">
        <v>4</v>
      </c>
      <c r="H4" s="14" t="s">
        <v>5</v>
      </c>
      <c r="I4" s="14" t="s">
        <v>6</v>
      </c>
      <c r="J4" s="15" t="s">
        <v>7</v>
      </c>
    </row>
    <row r="5" spans="1:10" x14ac:dyDescent="0.35">
      <c r="D5" s="2" t="s">
        <v>210</v>
      </c>
      <c r="E5" s="3">
        <v>1</v>
      </c>
      <c r="F5" s="3">
        <v>1</v>
      </c>
      <c r="G5" s="4">
        <v>1</v>
      </c>
      <c r="H5" s="3">
        <v>1</v>
      </c>
      <c r="I5" s="3">
        <v>1</v>
      </c>
      <c r="J5" s="4">
        <v>1</v>
      </c>
    </row>
    <row r="6" spans="1:10" x14ac:dyDescent="0.35">
      <c r="D6" s="2" t="s">
        <v>111</v>
      </c>
      <c r="E6" s="3">
        <v>1</v>
      </c>
      <c r="F6" s="3">
        <v>1</v>
      </c>
      <c r="G6" s="4">
        <v>1</v>
      </c>
      <c r="H6" s="3">
        <v>1</v>
      </c>
      <c r="I6" s="3">
        <v>1</v>
      </c>
      <c r="J6" s="4">
        <v>1</v>
      </c>
    </row>
    <row r="7" spans="1:10" x14ac:dyDescent="0.35">
      <c r="D7" s="2" t="s">
        <v>8</v>
      </c>
      <c r="E7" s="3">
        <v>2</v>
      </c>
      <c r="F7" s="3">
        <v>2</v>
      </c>
      <c r="G7" s="4">
        <v>1</v>
      </c>
      <c r="H7" s="3">
        <v>2</v>
      </c>
      <c r="I7" s="3">
        <v>1</v>
      </c>
      <c r="J7" s="4">
        <v>0.5</v>
      </c>
    </row>
    <row r="8" spans="1:10" x14ac:dyDescent="0.35">
      <c r="D8" s="2" t="s">
        <v>199</v>
      </c>
      <c r="E8" s="3">
        <v>1</v>
      </c>
      <c r="F8" s="3">
        <v>0</v>
      </c>
      <c r="G8" s="4">
        <v>0</v>
      </c>
      <c r="H8" s="3">
        <v>1</v>
      </c>
      <c r="I8" s="3">
        <v>0</v>
      </c>
      <c r="J8" s="4">
        <v>0</v>
      </c>
    </row>
    <row r="9" spans="1:10" x14ac:dyDescent="0.35">
      <c r="D9" s="16" t="s">
        <v>9</v>
      </c>
      <c r="E9" s="75">
        <v>5</v>
      </c>
      <c r="F9" s="75">
        <v>4</v>
      </c>
      <c r="G9" s="12">
        <v>0.8</v>
      </c>
      <c r="H9" s="75">
        <v>5</v>
      </c>
      <c r="I9" s="75">
        <v>3</v>
      </c>
      <c r="J9" s="65">
        <v>0.6</v>
      </c>
    </row>
    <row r="15" spans="1:10" ht="20" x14ac:dyDescent="0.4">
      <c r="D15" s="6" t="s">
        <v>10</v>
      </c>
      <c r="E15" s="3"/>
      <c r="F15" s="3"/>
    </row>
    <row r="16" spans="1:10" hidden="1" x14ac:dyDescent="0.35">
      <c r="D16" s="1" t="s">
        <v>11</v>
      </c>
      <c r="E16" s="25" t="s">
        <v>12</v>
      </c>
      <c r="F16" s="3"/>
      <c r="G16" s="3"/>
    </row>
    <row r="17" spans="4:8" x14ac:dyDescent="0.35">
      <c r="D17" s="1" t="s">
        <v>13</v>
      </c>
      <c r="E17" s="3" t="s">
        <v>43</v>
      </c>
      <c r="F17" s="3" t="s">
        <v>14</v>
      </c>
      <c r="G17" s="5" t="s">
        <v>16</v>
      </c>
    </row>
    <row r="18" spans="4:8" x14ac:dyDescent="0.35">
      <c r="D18" s="2" t="s">
        <v>106</v>
      </c>
      <c r="E18" s="4">
        <v>1</v>
      </c>
      <c r="F18" s="4">
        <v>1</v>
      </c>
      <c r="G18" s="4">
        <v>1</v>
      </c>
    </row>
    <row r="19" spans="4:8" x14ac:dyDescent="0.35">
      <c r="D19" s="2" t="s">
        <v>107</v>
      </c>
      <c r="E19" s="4">
        <v>1</v>
      </c>
      <c r="F19" s="4">
        <v>1</v>
      </c>
      <c r="G19" s="4">
        <v>1</v>
      </c>
    </row>
    <row r="20" spans="4:8" x14ac:dyDescent="0.35">
      <c r="D20" s="2" t="s">
        <v>17</v>
      </c>
      <c r="E20" s="4">
        <v>1</v>
      </c>
      <c r="F20" s="4">
        <v>1</v>
      </c>
      <c r="G20" s="4">
        <v>1</v>
      </c>
    </row>
    <row r="21" spans="4:8" x14ac:dyDescent="0.35">
      <c r="D21" s="2" t="s">
        <v>104</v>
      </c>
      <c r="E21" s="4">
        <v>1</v>
      </c>
      <c r="F21" s="4">
        <v>1</v>
      </c>
      <c r="G21" s="4">
        <v>1</v>
      </c>
    </row>
    <row r="22" spans="4:8" x14ac:dyDescent="0.35">
      <c r="D22" s="2" t="s">
        <v>16</v>
      </c>
      <c r="E22" s="8">
        <v>1</v>
      </c>
      <c r="F22" s="8">
        <v>1</v>
      </c>
      <c r="G22" s="10">
        <v>1</v>
      </c>
    </row>
    <row r="25" spans="4:8" ht="20" x14ac:dyDescent="0.35">
      <c r="D25" s="7" t="s">
        <v>18</v>
      </c>
      <c r="E25" s="3"/>
      <c r="F25" s="3"/>
      <c r="G25" s="3"/>
      <c r="H25" s="3"/>
    </row>
    <row r="26" spans="4:8" hidden="1" x14ac:dyDescent="0.35">
      <c r="D26" s="1" t="s">
        <v>11</v>
      </c>
      <c r="E26" s="25" t="s">
        <v>12</v>
      </c>
      <c r="F26" s="3"/>
      <c r="G26" s="3"/>
      <c r="H26" s="3"/>
    </row>
    <row r="27" spans="4:8" x14ac:dyDescent="0.35">
      <c r="D27" s="1" t="s">
        <v>13</v>
      </c>
      <c r="E27" s="3" t="s">
        <v>8</v>
      </c>
      <c r="F27" s="3" t="s">
        <v>111</v>
      </c>
      <c r="G27" s="3" t="s">
        <v>210</v>
      </c>
      <c r="H27" s="5" t="s">
        <v>16</v>
      </c>
    </row>
    <row r="28" spans="4:8" x14ac:dyDescent="0.35">
      <c r="D28" s="2" t="s">
        <v>106</v>
      </c>
      <c r="E28" s="4">
        <v>1</v>
      </c>
      <c r="F28" s="4">
        <v>1</v>
      </c>
      <c r="G28" s="4">
        <v>1</v>
      </c>
      <c r="H28" s="4">
        <v>1</v>
      </c>
    </row>
    <row r="29" spans="4:8" x14ac:dyDescent="0.35">
      <c r="D29" s="2" t="s">
        <v>107</v>
      </c>
      <c r="E29" s="4">
        <v>1</v>
      </c>
      <c r="F29" s="4">
        <v>1</v>
      </c>
      <c r="G29" s="4">
        <v>1</v>
      </c>
      <c r="H29" s="4">
        <v>1</v>
      </c>
    </row>
    <row r="30" spans="4:8" x14ac:dyDescent="0.35">
      <c r="D30" s="2" t="s">
        <v>17</v>
      </c>
      <c r="E30" s="4">
        <v>1</v>
      </c>
      <c r="F30" s="4">
        <v>1</v>
      </c>
      <c r="G30" s="4">
        <v>1</v>
      </c>
      <c r="H30" s="4">
        <v>1</v>
      </c>
    </row>
    <row r="31" spans="4:8" x14ac:dyDescent="0.35">
      <c r="D31" s="2" t="s">
        <v>104</v>
      </c>
      <c r="E31" s="4">
        <v>1</v>
      </c>
      <c r="F31" s="4">
        <v>1</v>
      </c>
      <c r="G31" s="4">
        <v>1</v>
      </c>
      <c r="H31" s="4">
        <v>1</v>
      </c>
    </row>
    <row r="32" spans="4:8" x14ac:dyDescent="0.35">
      <c r="D32" s="2" t="s">
        <v>16</v>
      </c>
      <c r="E32" s="8">
        <v>1</v>
      </c>
      <c r="F32" s="8">
        <v>1</v>
      </c>
      <c r="G32" s="8">
        <v>1</v>
      </c>
      <c r="H32" s="10">
        <v>1</v>
      </c>
    </row>
    <row r="37" spans="4:11" x14ac:dyDescent="0.35">
      <c r="E37" s="3"/>
      <c r="F37" s="3"/>
      <c r="G37" s="3"/>
      <c r="H37" s="3"/>
    </row>
    <row r="38" spans="4:11" x14ac:dyDescent="0.35">
      <c r="F38" s="3"/>
      <c r="G38" s="3"/>
      <c r="H38" s="3"/>
    </row>
    <row r="39" spans="4:11" hidden="1" x14ac:dyDescent="0.35">
      <c r="D39" s="13" t="s">
        <v>19</v>
      </c>
      <c r="E39" t="s">
        <v>112</v>
      </c>
    </row>
    <row r="40" spans="4:11" ht="20" x14ac:dyDescent="0.4">
      <c r="D40" s="6" t="s">
        <v>21</v>
      </c>
    </row>
    <row r="41" spans="4:11" hidden="1" x14ac:dyDescent="0.35">
      <c r="D41" s="1" t="s">
        <v>11</v>
      </c>
      <c r="G41" s="1" t="s">
        <v>13</v>
      </c>
    </row>
    <row r="42" spans="4:11" ht="43.5" x14ac:dyDescent="0.35">
      <c r="D42" s="18" t="s">
        <v>1</v>
      </c>
      <c r="E42" s="18" t="s">
        <v>22</v>
      </c>
      <c r="F42" s="18" t="s">
        <v>23</v>
      </c>
      <c r="G42" s="32" t="s">
        <v>106</v>
      </c>
      <c r="H42" s="32" t="s">
        <v>107</v>
      </c>
      <c r="I42" s="32" t="s">
        <v>17</v>
      </c>
      <c r="J42" s="32" t="s">
        <v>104</v>
      </c>
      <c r="K42" s="17" t="s">
        <v>16</v>
      </c>
    </row>
    <row r="43" spans="4:11" x14ac:dyDescent="0.35">
      <c r="D43" s="9" t="s">
        <v>8</v>
      </c>
      <c r="E43" t="s">
        <v>14</v>
      </c>
      <c r="F43" t="s">
        <v>201</v>
      </c>
      <c r="G43" s="4">
        <v>1</v>
      </c>
      <c r="H43" s="4">
        <v>1</v>
      </c>
      <c r="I43" s="4">
        <v>1</v>
      </c>
      <c r="J43" s="4">
        <v>1</v>
      </c>
      <c r="K43" s="4">
        <v>1</v>
      </c>
    </row>
    <row r="44" spans="4:11" x14ac:dyDescent="0.35">
      <c r="D44" t="s">
        <v>111</v>
      </c>
      <c r="E44" t="s">
        <v>43</v>
      </c>
      <c r="F44" t="s">
        <v>154</v>
      </c>
      <c r="G44" s="4">
        <v>1</v>
      </c>
      <c r="H44" s="4">
        <v>1</v>
      </c>
      <c r="I44" s="4">
        <v>1</v>
      </c>
      <c r="J44" s="4">
        <v>1</v>
      </c>
      <c r="K44" s="4">
        <v>1</v>
      </c>
    </row>
    <row r="45" spans="4:11" x14ac:dyDescent="0.35">
      <c r="D45" t="s">
        <v>210</v>
      </c>
      <c r="E45" t="s">
        <v>14</v>
      </c>
      <c r="F45" t="s">
        <v>212</v>
      </c>
      <c r="G45" s="4">
        <v>1</v>
      </c>
      <c r="H45" s="4">
        <v>1</v>
      </c>
      <c r="I45" s="4">
        <v>1</v>
      </c>
      <c r="J45" s="4">
        <v>1</v>
      </c>
      <c r="K45" s="4">
        <v>1</v>
      </c>
    </row>
    <row r="46" spans="4:11" x14ac:dyDescent="0.35">
      <c r="D46" s="9" t="s">
        <v>16</v>
      </c>
      <c r="E46" s="9"/>
      <c r="F46" s="9"/>
      <c r="G46" s="8">
        <v>1</v>
      </c>
      <c r="H46" s="8">
        <v>1</v>
      </c>
      <c r="I46" s="8">
        <v>1</v>
      </c>
      <c r="J46" s="8">
        <v>1</v>
      </c>
      <c r="K46" s="10">
        <v>1</v>
      </c>
    </row>
    <row r="73" spans="21:21" x14ac:dyDescent="0.35">
      <c r="U73" s="4"/>
    </row>
  </sheetData>
  <mergeCells count="1">
    <mergeCell ref="A1:A3"/>
  </mergeCells>
  <pageMargins left="0.7" right="0.7" top="0.75" bottom="0.75" header="0.3" footer="0.3"/>
  <drawing r:id="rId5"/>
  <extLst>
    <ext xmlns:x14="http://schemas.microsoft.com/office/spreadsheetml/2009/9/main" uri="{78C0D931-6437-407d-A8EE-F0AAD7539E65}">
      <x14:conditionalFormattings>
        <x14:conditionalFormatting xmlns:xm="http://schemas.microsoft.com/office/excel/2006/main" pivot="1">
          <x14:cfRule type="iconSet" priority="99" id="{A7410DC0-EE9E-4584-A866-672877DBC4E6}">
            <x14:iconSet iconSet="3Triangle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G18:G22</xm:sqref>
        </x14:conditionalFormatting>
        <x14:conditionalFormatting xmlns:xm="http://schemas.microsoft.com/office/excel/2006/main" pivot="1">
          <x14:cfRule type="iconSet" priority="96" id="{578A6BBE-0746-49B8-A379-5CA92DEB79AA}">
            <x14:iconSet iconSet="3Triangle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H28:H32</xm:sqref>
        </x14:conditionalFormatting>
        <x14:conditionalFormatting xmlns:xm="http://schemas.microsoft.com/office/excel/2006/main" pivot="1">
          <x14:cfRule type="iconSet" priority="89" id="{B74256D8-C2EA-4EA7-A1C5-07F3712318EB}">
            <x14:iconSet iconSet="3Triangle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E28:E32</xm:sqref>
        </x14:conditionalFormatting>
        <x14:conditionalFormatting xmlns:xm="http://schemas.microsoft.com/office/excel/2006/main">
          <x14:cfRule type="iconSet" priority="87" id="{1E271CF6-3828-4F00-8A64-93CE6C10607A}">
            <x14:iconSet iconSet="3Triangle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U73</xm:sqref>
        </x14:conditionalFormatting>
        <x14:conditionalFormatting xmlns:xm="http://schemas.microsoft.com/office/excel/2006/main" pivot="1">
          <x14:cfRule type="iconSet" priority="18" id="{89AB2A6D-6E46-4627-BFDD-62ACB8214849}">
            <x14:iconSet iconSet="3Triangle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</x14:conditionalFormatting>
        <x14:conditionalFormatting xmlns:xm="http://schemas.microsoft.com/office/excel/2006/main" pivot="1">
          <x14:cfRule type="iconSet" priority="17" id="{84DE4F07-E727-4C73-AE29-1D4C44E1922B}">
            <x14:iconSet iconSet="3Triangle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</x14:conditionalFormatting>
        <x14:conditionalFormatting xmlns:xm="http://schemas.microsoft.com/office/excel/2006/main" pivot="1">
          <x14:cfRule type="iconSet" priority="16" id="{8DF1E6C7-5D69-49D1-8025-AE8B78AA6546}">
            <x14:iconSet iconSet="3Triangle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G28:G32</xm:sqref>
        </x14:conditionalFormatting>
        <x14:conditionalFormatting xmlns:xm="http://schemas.microsoft.com/office/excel/2006/main" pivot="1">
          <x14:cfRule type="iconSet" priority="7" id="{85A1CD4D-F31D-455D-B58C-E6469290DE16}">
            <x14:iconSet iconSet="3Triangle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</x14:conditionalFormatting>
        <x14:conditionalFormatting xmlns:xm="http://schemas.microsoft.com/office/excel/2006/main" pivot="1">
          <x14:cfRule type="iconSet" priority="6" id="{F5C99382-1D20-44CA-9003-4F74D34D5C7D}">
            <x14:iconSet iconSet="3Triangle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E18:F22</xm:sqref>
        </x14:conditionalFormatting>
        <x14:conditionalFormatting xmlns:xm="http://schemas.microsoft.com/office/excel/2006/main" pivot="1">
          <x14:cfRule type="iconSet" priority="4" id="{C5BC4589-334D-49C5-AD2B-43ECB2263BBA}">
            <x14:iconSet iconSet="3Triangle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F28:F32</xm:sqref>
        </x14:conditionalFormatting>
        <x14:conditionalFormatting xmlns:xm="http://schemas.microsoft.com/office/excel/2006/main" pivot="1">
          <x14:cfRule type="iconSet" priority="3" id="{347E788A-5860-4605-A21F-0E523D13A542}">
            <x14:iconSet iconSet="3Triangle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</x14:conditionalFormatting>
        <x14:conditionalFormatting xmlns:xm="http://schemas.microsoft.com/office/excel/2006/main" pivot="1">
          <x14:cfRule type="iconSet" priority="2" id="{7F6792EB-B305-47AC-B59E-D9E08A358292}">
            <x14:iconSet iconSet="3Triangle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</x14:conditionalFormatting>
        <x14:conditionalFormatting xmlns:xm="http://schemas.microsoft.com/office/excel/2006/main" pivot="1">
          <x14:cfRule type="iconSet" priority="1" id="{1F94881B-21B8-4B25-9F26-6027EC17C078}">
            <x14:iconSet iconSet="3Triangle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K46</xm:sqref>
        </x14:conditionalFormatting>
      </x14:conditionalFormattings>
    </ext>
    <ext xmlns:x14="http://schemas.microsoft.com/office/spreadsheetml/2009/9/main" uri="{A8765BA9-456A-4dab-B4F3-ACF838C121DE}">
      <x14:slicerList>
        <x14:slicer r:id="rId6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98C9D-50A1-466F-A4CF-A3BF379C3F7F}">
  <sheetPr codeName="Hoja2"/>
  <dimension ref="A1:H5"/>
  <sheetViews>
    <sheetView showGridLines="0" workbookViewId="0">
      <selection activeCell="D13" sqref="D13"/>
    </sheetView>
  </sheetViews>
  <sheetFormatPr baseColWidth="10" defaultRowHeight="14.5" x14ac:dyDescent="0.35"/>
  <cols>
    <col min="1" max="2" width="14.26953125" customWidth="1"/>
    <col min="3" max="3" width="43.453125" bestFit="1" customWidth="1"/>
    <col min="4" max="8" width="19.453125" customWidth="1"/>
  </cols>
  <sheetData>
    <row r="1" spans="1:8" x14ac:dyDescent="0.35">
      <c r="A1" s="62" t="s">
        <v>22</v>
      </c>
      <c r="B1" s="62" t="s">
        <v>1</v>
      </c>
      <c r="C1" s="62" t="s">
        <v>23</v>
      </c>
      <c r="D1" s="63" t="s">
        <v>80</v>
      </c>
      <c r="E1" s="63" t="s">
        <v>81</v>
      </c>
      <c r="F1" s="63" t="s">
        <v>82</v>
      </c>
      <c r="G1" s="64" t="s">
        <v>85</v>
      </c>
      <c r="H1" s="64" t="s">
        <v>86</v>
      </c>
    </row>
    <row r="2" spans="1:8" x14ac:dyDescent="0.35">
      <c r="A2" s="19" t="s">
        <v>207</v>
      </c>
      <c r="B2" s="19" t="s">
        <v>8</v>
      </c>
      <c r="C2" s="19" t="s">
        <v>201</v>
      </c>
      <c r="D2" s="42" t="s">
        <v>257</v>
      </c>
      <c r="E2" s="19" t="s">
        <v>83</v>
      </c>
      <c r="F2" s="19" t="s">
        <v>83</v>
      </c>
      <c r="G2" s="19" t="s">
        <v>83</v>
      </c>
      <c r="H2" s="19" t="s">
        <v>83</v>
      </c>
    </row>
    <row r="3" spans="1:8" x14ac:dyDescent="0.35">
      <c r="A3" s="19" t="s">
        <v>43</v>
      </c>
      <c r="B3" s="19" t="s">
        <v>8</v>
      </c>
      <c r="C3" s="19" t="s">
        <v>249</v>
      </c>
      <c r="D3" s="42" t="s">
        <v>264</v>
      </c>
      <c r="E3" s="42" t="s">
        <v>265</v>
      </c>
      <c r="F3" s="19" t="s">
        <v>83</v>
      </c>
      <c r="G3" s="19" t="s">
        <v>83</v>
      </c>
      <c r="H3" s="19" t="s">
        <v>83</v>
      </c>
    </row>
    <row r="4" spans="1:8" x14ac:dyDescent="0.35">
      <c r="A4" s="19" t="s">
        <v>187</v>
      </c>
      <c r="B4" s="19" t="s">
        <v>111</v>
      </c>
      <c r="C4" s="19" t="s">
        <v>154</v>
      </c>
      <c r="D4" s="42" t="s">
        <v>258</v>
      </c>
      <c r="E4" s="19" t="s">
        <v>83</v>
      </c>
      <c r="F4" s="19" t="s">
        <v>83</v>
      </c>
      <c r="G4" s="19" t="s">
        <v>83</v>
      </c>
      <c r="H4" s="19" t="s">
        <v>83</v>
      </c>
    </row>
    <row r="5" spans="1:8" x14ac:dyDescent="0.35">
      <c r="A5" s="19" t="s">
        <v>207</v>
      </c>
      <c r="B5" s="19" t="s">
        <v>210</v>
      </c>
      <c r="C5" s="19" t="s">
        <v>212</v>
      </c>
      <c r="D5" s="42" t="s">
        <v>256</v>
      </c>
      <c r="E5" s="19" t="s">
        <v>83</v>
      </c>
      <c r="F5" s="19" t="s">
        <v>83</v>
      </c>
      <c r="G5" s="19" t="s">
        <v>83</v>
      </c>
      <c r="H5" s="19" t="s">
        <v>83</v>
      </c>
    </row>
  </sheetData>
  <hyperlinks>
    <hyperlink ref="D6" r:id="rId1" display="https://drive.google.com/file/d/10t_yH0ROg7i8Mc4TojaEcVU1S8hhkxjD/view?usp=drive_link" xr:uid="{335F0C9A-6C42-4FE6-B72C-15C1DF4D0EBE}"/>
    <hyperlink ref="D7" r:id="rId2" display="https://drive.google.com/file/d/19OJZWYs6MM66MQoayrtCJ11k_8l2e8tL/view?usp=drive_link" xr:uid="{CE887CD0-82ED-47FC-A100-EB6C12937B10}"/>
    <hyperlink ref="D8" r:id="rId3" display="https://drive.google.com/file/d/1i-EhC7gWFDq6t17o8tZgNN00YeSuEEjt/view?usp=drive_link" xr:uid="{EF80C185-EF15-4A5B-A8B2-07ED456C9D6A}"/>
    <hyperlink ref="E6" r:id="rId4" display="https://drive.google.com/file/d/1JGLyWrDAjLXygPnVmm6PgFYUk1ALW_Fg/view?usp=drive_link" xr:uid="{9206985D-BC2A-4D26-ACC9-C81C45008E11}"/>
    <hyperlink ref="E7" r:id="rId5" display="https://drive.google.com/file/d/13R7OqzE4i4N-h6ULSWvUdLG2x23aLifX/view?usp=drive_link" xr:uid="{1A2A193D-CF82-4160-B6A3-78DE16C47F7F}"/>
    <hyperlink ref="D5" r:id="rId6" xr:uid="{8409CD20-290D-4EBF-BC1C-78C63E7E02C7}"/>
    <hyperlink ref="D2" r:id="rId7" xr:uid="{37118E33-C825-4A74-B3E9-4702B1679369}"/>
    <hyperlink ref="D4" r:id="rId8" xr:uid="{349C6540-1956-4C90-AEE6-0E43C62C7DD4}"/>
    <hyperlink ref="D3" r:id="rId9" xr:uid="{946E8373-7ABB-4FAA-94D5-6A4816EEDE98}"/>
    <hyperlink ref="E3" r:id="rId10" xr:uid="{3D0471FB-41E7-4F23-9BBE-D5853F85B617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91F0BD-742A-41AE-BD3F-AF74EF63A4DA}">
  <sheetPr codeName="Hoja3"/>
  <dimension ref="A1:U287"/>
  <sheetViews>
    <sheetView showGridLines="0" topLeftCell="H1" zoomScale="70" zoomScaleNormal="70" workbookViewId="0">
      <selection activeCell="R28" sqref="R28"/>
    </sheetView>
  </sheetViews>
  <sheetFormatPr baseColWidth="10" defaultColWidth="11.453125" defaultRowHeight="14.5" x14ac:dyDescent="0.35"/>
  <cols>
    <col min="1" max="2" width="13.54296875" bestFit="1" customWidth="1"/>
    <col min="3" max="4" width="13.7265625" bestFit="1" customWidth="1"/>
    <col min="5" max="5" width="11.6328125" bestFit="1" customWidth="1"/>
    <col min="6" max="6" width="24.26953125" bestFit="1" customWidth="1"/>
    <col min="7" max="8" width="80.7265625" bestFit="1" customWidth="1"/>
    <col min="9" max="9" width="12.08984375" bestFit="1" customWidth="1"/>
    <col min="10" max="10" width="12.54296875" bestFit="1" customWidth="1"/>
    <col min="11" max="11" width="13.90625" bestFit="1" customWidth="1"/>
    <col min="12" max="12" width="17.1796875" bestFit="1" customWidth="1"/>
    <col min="13" max="13" width="23" bestFit="1" customWidth="1"/>
    <col min="14" max="14" width="13.54296875" bestFit="1" customWidth="1"/>
    <col min="15" max="15" width="13.6328125" bestFit="1" customWidth="1"/>
    <col min="16" max="16" width="17.26953125" bestFit="1" customWidth="1"/>
    <col min="17" max="17" width="12.453125" hidden="1" customWidth="1"/>
    <col min="18" max="18" width="9.453125" bestFit="1" customWidth="1" collapsed="1"/>
    <col min="19" max="19" width="12.453125" bestFit="1" customWidth="1"/>
    <col min="22" max="23" width="0" hidden="1" customWidth="1"/>
  </cols>
  <sheetData>
    <row r="1" spans="1:21" x14ac:dyDescent="0.35">
      <c r="A1" t="s">
        <v>24</v>
      </c>
      <c r="B1" t="s">
        <v>1</v>
      </c>
      <c r="C1" t="s">
        <v>22</v>
      </c>
      <c r="D1" t="s">
        <v>25</v>
      </c>
      <c r="E1" t="s">
        <v>26</v>
      </c>
      <c r="F1" t="s">
        <v>23</v>
      </c>
      <c r="G1" t="s">
        <v>27</v>
      </c>
      <c r="H1" t="s">
        <v>28</v>
      </c>
      <c r="I1" t="s">
        <v>29</v>
      </c>
      <c r="J1" t="s">
        <v>30</v>
      </c>
      <c r="K1" t="s">
        <v>31</v>
      </c>
      <c r="L1" s="20" t="s">
        <v>19</v>
      </c>
      <c r="M1" t="s">
        <v>13</v>
      </c>
      <c r="N1" t="s">
        <v>32</v>
      </c>
      <c r="O1" s="21" t="s">
        <v>33</v>
      </c>
      <c r="P1" t="s">
        <v>34</v>
      </c>
      <c r="Q1" t="s">
        <v>75</v>
      </c>
      <c r="R1" t="s">
        <v>84</v>
      </c>
      <c r="T1" t="s">
        <v>76</v>
      </c>
      <c r="U1" t="s">
        <v>77</v>
      </c>
    </row>
    <row r="2" spans="1:21" x14ac:dyDescent="0.35">
      <c r="A2" s="34" t="s">
        <v>108</v>
      </c>
      <c r="B2" s="34" t="s">
        <v>111</v>
      </c>
      <c r="C2" t="s">
        <v>43</v>
      </c>
      <c r="D2" s="34" t="s">
        <v>43</v>
      </c>
      <c r="E2" s="34">
        <v>127058</v>
      </c>
      <c r="F2" s="34" t="s">
        <v>154</v>
      </c>
      <c r="G2" s="34" t="s">
        <v>87</v>
      </c>
      <c r="H2" s="34" t="s">
        <v>20</v>
      </c>
      <c r="I2" s="35"/>
      <c r="J2" s="34">
        <v>31364497</v>
      </c>
      <c r="K2" s="34" t="s">
        <v>133</v>
      </c>
      <c r="L2" s="34" t="str">
        <f>_xlfn.XLOOKUP(Tabla2__2[[#This Row],[CODIGO RUTA]],'DATA INFORME'!I:I,'DATA INFORME'!K:K)</f>
        <v>SI</v>
      </c>
      <c r="M2" s="34" t="str">
        <f>IF(Tabla2__2[[#This Row],[MYSTERY EFECTIVO]]="SI",_xlfn.XLOOKUP(Tabla2__2[[#This Row],[PREGUNTA]],ENCUESTA!G:G,ENCUESTA!D:D),"N/A")</f>
        <v>N/A</v>
      </c>
      <c r="N2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2" s="34">
        <f>_xlfn.XLOOKUP(Tabla2__2[[#This Row],[PREGUNTA]],ENCUESTA!G:G,ENCUESTA!H:H)</f>
        <v>0</v>
      </c>
      <c r="P2" s="34">
        <f>IF(Tabla2__2[[#This Row],[RTA]]=Tabla2__2[[#This Row],[RTA CORRECTA]],Tabla2__2[[#This Row],[TOTAL PUNTAJE]],0)</f>
        <v>0</v>
      </c>
      <c r="Q2" s="34">
        <f t="shared" ref="Q2:Q33" si="0">IF(OR(H2="Dog Chow húmedo",H2="Cat Chow húmedo",H2="Fancy Feast",H2="Felix",H2="Proplan húmedo",H2="One húmedo",H2="Snack Abrazzos",H2="Snak Dentalife",H2="Arenilla Tidy Cat"),N2,0)</f>
        <v>0</v>
      </c>
      <c r="R2" s="34"/>
    </row>
    <row r="3" spans="1:21" x14ac:dyDescent="0.35">
      <c r="A3" s="34" t="s">
        <v>108</v>
      </c>
      <c r="B3" s="34" t="s">
        <v>210</v>
      </c>
      <c r="C3" t="s">
        <v>14</v>
      </c>
      <c r="D3" s="34" t="s">
        <v>14</v>
      </c>
      <c r="E3" s="34">
        <v>425892</v>
      </c>
      <c r="F3" s="34" t="s">
        <v>212</v>
      </c>
      <c r="G3" s="34" t="s">
        <v>93</v>
      </c>
      <c r="H3" s="34" t="s">
        <v>20</v>
      </c>
      <c r="I3" s="35"/>
      <c r="J3" s="34">
        <v>31389386</v>
      </c>
      <c r="K3" s="34" t="s">
        <v>120</v>
      </c>
      <c r="L3" s="34" t="str">
        <f>_xlfn.XLOOKUP(Tabla2__2[[#This Row],[CODIGO RUTA]],'DATA INFORME'!I:I,'DATA INFORME'!K:K)</f>
        <v>SI</v>
      </c>
      <c r="M3" s="34" t="str">
        <f>IF(Tabla2__2[[#This Row],[MYSTERY EFECTIVO]]="SI",_xlfn.XLOOKUP(Tabla2__2[[#This Row],[PREGUNTA]],ENCUESTA!G:G,ENCUESTA!D:D),"N/A")</f>
        <v>PRESENTACIÓN PERSONAL</v>
      </c>
      <c r="N3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</v>
      </c>
      <c r="O3" s="34" t="str">
        <f>_xlfn.XLOOKUP(Tabla2__2[[#This Row],[PREGUNTA]],ENCUESTA!G:G,ENCUESTA!H:H)</f>
        <v>SI</v>
      </c>
      <c r="P3" s="34">
        <f>IF(Tabla2__2[[#This Row],[RTA]]=Tabla2__2[[#This Row],[RTA CORRECTA]],Tabla2__2[[#This Row],[TOTAL PUNTAJE]],0)</f>
        <v>1</v>
      </c>
      <c r="Q3" s="34">
        <f t="shared" si="0"/>
        <v>0</v>
      </c>
      <c r="R3" s="34"/>
    </row>
    <row r="4" spans="1:21" x14ac:dyDescent="0.35">
      <c r="A4" s="34" t="s">
        <v>108</v>
      </c>
      <c r="B4" s="34" t="s">
        <v>210</v>
      </c>
      <c r="C4" t="s">
        <v>14</v>
      </c>
      <c r="D4" s="34" t="s">
        <v>14</v>
      </c>
      <c r="E4" s="34">
        <v>425892</v>
      </c>
      <c r="F4" s="34" t="s">
        <v>212</v>
      </c>
      <c r="G4" s="34" t="s">
        <v>92</v>
      </c>
      <c r="H4" s="34" t="s">
        <v>20</v>
      </c>
      <c r="I4" s="35"/>
      <c r="J4" s="34">
        <v>31389386</v>
      </c>
      <c r="K4" s="34" t="s">
        <v>120</v>
      </c>
      <c r="L4" s="34" t="str">
        <f>_xlfn.XLOOKUP(Tabla2__2[[#This Row],[CODIGO RUTA]],'DATA INFORME'!I:I,'DATA INFORME'!K:K)</f>
        <v>SI</v>
      </c>
      <c r="M4" s="34" t="str">
        <f>IF(Tabla2__2[[#This Row],[MYSTERY EFECTIVO]]="SI",_xlfn.XLOOKUP(Tabla2__2[[#This Row],[PREGUNTA]],ENCUESTA!G:G,ENCUESTA!D:D),"N/A")</f>
        <v>PRESENTACIÓN PERSONAL</v>
      </c>
      <c r="N4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</v>
      </c>
      <c r="O4" s="34" t="str">
        <f>_xlfn.XLOOKUP(Tabla2__2[[#This Row],[PREGUNTA]],ENCUESTA!G:G,ENCUESTA!H:H)</f>
        <v>SI</v>
      </c>
      <c r="P4" s="34">
        <f>IF(Tabla2__2[[#This Row],[RTA]]=Tabla2__2[[#This Row],[RTA CORRECTA]],Tabla2__2[[#This Row],[TOTAL PUNTAJE]],0)</f>
        <v>1</v>
      </c>
      <c r="Q4" s="34">
        <f t="shared" si="0"/>
        <v>0</v>
      </c>
      <c r="R4" s="34"/>
    </row>
    <row r="5" spans="1:21" x14ac:dyDescent="0.35">
      <c r="A5" s="34" t="s">
        <v>108</v>
      </c>
      <c r="B5" s="34" t="s">
        <v>210</v>
      </c>
      <c r="C5" t="s">
        <v>14</v>
      </c>
      <c r="D5" s="34" t="s">
        <v>14</v>
      </c>
      <c r="E5" s="34">
        <v>425892</v>
      </c>
      <c r="F5" s="34" t="s">
        <v>212</v>
      </c>
      <c r="G5" s="34" t="s">
        <v>91</v>
      </c>
      <c r="H5" s="34" t="s">
        <v>164</v>
      </c>
      <c r="I5" s="35"/>
      <c r="J5" s="34">
        <v>31389386</v>
      </c>
      <c r="K5" s="34" t="s">
        <v>120</v>
      </c>
      <c r="L5" s="34" t="str">
        <f>_xlfn.XLOOKUP(Tabla2__2[[#This Row],[CODIGO RUTA]],'DATA INFORME'!I:I,'DATA INFORME'!K:K)</f>
        <v>SI</v>
      </c>
      <c r="M5" s="34" t="str">
        <f>IF(Tabla2__2[[#This Row],[MYSTERY EFECTIVO]]="SI",_xlfn.XLOOKUP(Tabla2__2[[#This Row],[PREGUNTA]],ENCUESTA!G:G,ENCUESTA!D:D),"N/A")</f>
        <v>PRESENTACIÓN PERSONAL</v>
      </c>
      <c r="N5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</v>
      </c>
      <c r="O5" s="34" t="str">
        <f>_xlfn.XLOOKUP(Tabla2__2[[#This Row],[PREGUNTA]],ENCUESTA!G:G,ENCUESTA!H:H)</f>
        <v xml:space="preserve"> NO</v>
      </c>
      <c r="P5" s="34">
        <f>IF(Tabla2__2[[#This Row],[RTA]]=Tabla2__2[[#This Row],[RTA CORRECTA]],Tabla2__2[[#This Row],[TOTAL PUNTAJE]],0)</f>
        <v>1</v>
      </c>
      <c r="Q5" s="34">
        <f t="shared" si="0"/>
        <v>0</v>
      </c>
      <c r="R5" s="34"/>
    </row>
    <row r="6" spans="1:21" x14ac:dyDescent="0.35">
      <c r="A6" s="34" t="s">
        <v>108</v>
      </c>
      <c r="B6" s="34" t="s">
        <v>210</v>
      </c>
      <c r="C6" t="s">
        <v>14</v>
      </c>
      <c r="D6" s="34" t="s">
        <v>14</v>
      </c>
      <c r="E6" s="34">
        <v>425892</v>
      </c>
      <c r="F6" s="34" t="s">
        <v>212</v>
      </c>
      <c r="G6" s="34" t="s">
        <v>35</v>
      </c>
      <c r="H6" s="34" t="s">
        <v>20</v>
      </c>
      <c r="I6" s="35"/>
      <c r="J6" s="34">
        <v>31389386</v>
      </c>
      <c r="K6" s="34" t="s">
        <v>120</v>
      </c>
      <c r="L6" s="34" t="str">
        <f>_xlfn.XLOOKUP(Tabla2__2[[#This Row],[CODIGO RUTA]],'DATA INFORME'!I:I,'DATA INFORME'!K:K)</f>
        <v>SI</v>
      </c>
      <c r="M6" s="34" t="str">
        <f>IF(Tabla2__2[[#This Row],[MYSTERY EFECTIVO]]="SI",_xlfn.XLOOKUP(Tabla2__2[[#This Row],[PREGUNTA]],ENCUESTA!G:G,ENCUESTA!D:D),"N/A")</f>
        <v>PRESENTACIÓN PERSONAL</v>
      </c>
      <c r="N6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</v>
      </c>
      <c r="O6" s="34" t="str">
        <f>_xlfn.XLOOKUP(Tabla2__2[[#This Row],[PREGUNTA]],ENCUESTA!G:G,ENCUESTA!H:H)</f>
        <v>SI</v>
      </c>
      <c r="P6" s="34">
        <f>IF(Tabla2__2[[#This Row],[RTA]]=Tabla2__2[[#This Row],[RTA CORRECTA]],Tabla2__2[[#This Row],[TOTAL PUNTAJE]],0)</f>
        <v>1</v>
      </c>
      <c r="Q6" s="34">
        <f t="shared" si="0"/>
        <v>0</v>
      </c>
      <c r="R6" s="34"/>
    </row>
    <row r="7" spans="1:21" x14ac:dyDescent="0.35">
      <c r="A7" s="34" t="s">
        <v>108</v>
      </c>
      <c r="B7" s="34" t="s">
        <v>210</v>
      </c>
      <c r="C7" t="s">
        <v>14</v>
      </c>
      <c r="D7" s="34" t="s">
        <v>14</v>
      </c>
      <c r="E7" s="34">
        <v>425892</v>
      </c>
      <c r="F7" s="34" t="s">
        <v>212</v>
      </c>
      <c r="G7" s="34" t="s">
        <v>90</v>
      </c>
      <c r="H7" s="34" t="s">
        <v>20</v>
      </c>
      <c r="I7" s="35"/>
      <c r="J7" s="34">
        <v>31389386</v>
      </c>
      <c r="K7" s="34" t="s">
        <v>120</v>
      </c>
      <c r="L7" s="34" t="str">
        <f>_xlfn.XLOOKUP(Tabla2__2[[#This Row],[CODIGO RUTA]],'DATA INFORME'!I:I,'DATA INFORME'!K:K)</f>
        <v>SI</v>
      </c>
      <c r="M7" s="34" t="str">
        <f>IF(Tabla2__2[[#This Row],[MYSTERY EFECTIVO]]="SI",_xlfn.XLOOKUP(Tabla2__2[[#This Row],[PREGUNTA]],ENCUESTA!G:G,ENCUESTA!D:D),"N/A")</f>
        <v>PRESENTACIÓN PERSONAL</v>
      </c>
      <c r="N7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</v>
      </c>
      <c r="O7" s="34" t="str">
        <f>_xlfn.XLOOKUP(Tabla2__2[[#This Row],[PREGUNTA]],ENCUESTA!G:G,ENCUESTA!H:H)</f>
        <v>SI</v>
      </c>
      <c r="P7" s="34">
        <f>IF(Tabla2__2[[#This Row],[RTA]]=Tabla2__2[[#This Row],[RTA CORRECTA]],Tabla2__2[[#This Row],[TOTAL PUNTAJE]],0)</f>
        <v>1</v>
      </c>
      <c r="Q7" s="34">
        <f t="shared" si="0"/>
        <v>0</v>
      </c>
      <c r="R7" s="34"/>
    </row>
    <row r="8" spans="1:21" x14ac:dyDescent="0.35">
      <c r="A8" s="34" t="s">
        <v>108</v>
      </c>
      <c r="B8" s="34" t="s">
        <v>210</v>
      </c>
      <c r="C8" t="s">
        <v>14</v>
      </c>
      <c r="D8" s="34" t="s">
        <v>14</v>
      </c>
      <c r="E8" s="34">
        <v>425892</v>
      </c>
      <c r="F8" s="34" t="s">
        <v>212</v>
      </c>
      <c r="G8" s="34" t="s">
        <v>89</v>
      </c>
      <c r="H8" s="34" t="s">
        <v>20</v>
      </c>
      <c r="I8" s="35"/>
      <c r="J8" s="34">
        <v>31389386</v>
      </c>
      <c r="K8" s="34" t="s">
        <v>120</v>
      </c>
      <c r="L8" s="34" t="str">
        <f>_xlfn.XLOOKUP(Tabla2__2[[#This Row],[CODIGO RUTA]],'DATA INFORME'!I:I,'DATA INFORME'!K:K)</f>
        <v>SI</v>
      </c>
      <c r="M8" s="34" t="str">
        <f>IF(Tabla2__2[[#This Row],[MYSTERY EFECTIVO]]="SI",_xlfn.XLOOKUP(Tabla2__2[[#This Row],[PREGUNTA]],ENCUESTA!G:G,ENCUESTA!D:D),"N/A")</f>
        <v>PRESENTACIÓN PERSONAL</v>
      </c>
      <c r="N8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</v>
      </c>
      <c r="O8" s="34" t="str">
        <f>_xlfn.XLOOKUP(Tabla2__2[[#This Row],[PREGUNTA]],ENCUESTA!G:G,ENCUESTA!H:H)</f>
        <v>SI</v>
      </c>
      <c r="P8" s="34">
        <f>IF(Tabla2__2[[#This Row],[RTA]]=Tabla2__2[[#This Row],[RTA CORRECTA]],Tabla2__2[[#This Row],[TOTAL PUNTAJE]],0)</f>
        <v>1</v>
      </c>
      <c r="Q8" s="34">
        <f t="shared" si="0"/>
        <v>0</v>
      </c>
      <c r="R8" s="34"/>
    </row>
    <row r="9" spans="1:21" x14ac:dyDescent="0.35">
      <c r="A9" s="34" t="s">
        <v>108</v>
      </c>
      <c r="B9" s="34" t="s">
        <v>210</v>
      </c>
      <c r="C9" t="s">
        <v>14</v>
      </c>
      <c r="D9" s="34" t="s">
        <v>14</v>
      </c>
      <c r="E9" s="34">
        <v>425892</v>
      </c>
      <c r="F9" s="34" t="s">
        <v>212</v>
      </c>
      <c r="G9" s="34" t="s">
        <v>88</v>
      </c>
      <c r="H9" s="34" t="s">
        <v>20</v>
      </c>
      <c r="I9" s="35"/>
      <c r="J9" s="34">
        <v>31389386</v>
      </c>
      <c r="K9" s="34" t="s">
        <v>120</v>
      </c>
      <c r="L9" s="34" t="str">
        <f>_xlfn.XLOOKUP(Tabla2__2[[#This Row],[CODIGO RUTA]],'DATA INFORME'!I:I,'DATA INFORME'!K:K)</f>
        <v>SI</v>
      </c>
      <c r="M9" s="34" t="str">
        <f>IF(Tabla2__2[[#This Row],[MYSTERY EFECTIVO]]="SI",_xlfn.XLOOKUP(Tabla2__2[[#This Row],[PREGUNTA]],ENCUESTA!G:G,ENCUESTA!D:D),"N/A")</f>
        <v>HORARIO</v>
      </c>
      <c r="N9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20</v>
      </c>
      <c r="O9" s="34" t="str">
        <f>_xlfn.XLOOKUP(Tabla2__2[[#This Row],[PREGUNTA]],ENCUESTA!G:G,ENCUESTA!H:H)</f>
        <v>SI</v>
      </c>
      <c r="P9" s="34">
        <f>IF(Tabla2__2[[#This Row],[RTA]]=Tabla2__2[[#This Row],[RTA CORRECTA]],Tabla2__2[[#This Row],[TOTAL PUNTAJE]],0)</f>
        <v>20</v>
      </c>
      <c r="Q9" s="34">
        <f t="shared" si="0"/>
        <v>0</v>
      </c>
      <c r="R9" s="34"/>
    </row>
    <row r="10" spans="1:21" x14ac:dyDescent="0.35">
      <c r="A10" s="34" t="s">
        <v>108</v>
      </c>
      <c r="B10" s="34" t="s">
        <v>210</v>
      </c>
      <c r="C10" t="s">
        <v>14</v>
      </c>
      <c r="D10" s="34" t="s">
        <v>14</v>
      </c>
      <c r="E10" s="34">
        <v>425892</v>
      </c>
      <c r="F10" s="34" t="s">
        <v>212</v>
      </c>
      <c r="G10" s="34" t="s">
        <v>87</v>
      </c>
      <c r="H10" s="34" t="s">
        <v>20</v>
      </c>
      <c r="I10" s="35"/>
      <c r="J10" s="34">
        <v>31389386</v>
      </c>
      <c r="K10" s="34" t="s">
        <v>120</v>
      </c>
      <c r="L10" s="34" t="str">
        <f>_xlfn.XLOOKUP(Tabla2__2[[#This Row],[CODIGO RUTA]],'DATA INFORME'!I:I,'DATA INFORME'!K:K)</f>
        <v>SI</v>
      </c>
      <c r="M10" s="34" t="str">
        <f>IF(Tabla2__2[[#This Row],[MYSTERY EFECTIVO]]="SI",_xlfn.XLOOKUP(Tabla2__2[[#This Row],[PREGUNTA]],ENCUESTA!G:G,ENCUESTA!D:D),"N/A")</f>
        <v>N/A</v>
      </c>
      <c r="N10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10" s="34">
        <f>_xlfn.XLOOKUP(Tabla2__2[[#This Row],[PREGUNTA]],ENCUESTA!G:G,ENCUESTA!H:H)</f>
        <v>0</v>
      </c>
      <c r="P10" s="34">
        <f>IF(Tabla2__2[[#This Row],[RTA]]=Tabla2__2[[#This Row],[RTA CORRECTA]],Tabla2__2[[#This Row],[TOTAL PUNTAJE]],0)</f>
        <v>0</v>
      </c>
      <c r="Q10" s="34">
        <f t="shared" si="0"/>
        <v>0</v>
      </c>
      <c r="R10" s="34"/>
    </row>
    <row r="11" spans="1:21" x14ac:dyDescent="0.35">
      <c r="A11" s="34" t="s">
        <v>108</v>
      </c>
      <c r="B11" s="34" t="s">
        <v>8</v>
      </c>
      <c r="C11" t="s">
        <v>14</v>
      </c>
      <c r="D11" s="34" t="s">
        <v>14</v>
      </c>
      <c r="E11" s="34">
        <v>555967</v>
      </c>
      <c r="F11" s="34" t="s">
        <v>201</v>
      </c>
      <c r="G11" s="34" t="s">
        <v>103</v>
      </c>
      <c r="H11" s="34" t="s">
        <v>262</v>
      </c>
      <c r="I11" s="35"/>
      <c r="J11" s="34">
        <v>31379123</v>
      </c>
      <c r="K11" s="34" t="s">
        <v>130</v>
      </c>
      <c r="L11" s="34" t="str">
        <f>_xlfn.XLOOKUP(Tabla2__2[[#This Row],[CODIGO RUTA]],'DATA INFORME'!I:I,'DATA INFORME'!K:K)</f>
        <v>SI</v>
      </c>
      <c r="M11" s="34" t="str">
        <f>IF(Tabla2__2[[#This Row],[MYSTERY EFECTIVO]]="SI",_xlfn.XLOOKUP(Tabla2__2[[#This Row],[PREGUNTA]],ENCUESTA!G:G,ENCUESTA!D:D),"N/A")</f>
        <v>N/A</v>
      </c>
      <c r="N11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11" s="34">
        <f>_xlfn.XLOOKUP(Tabla2__2[[#This Row],[PREGUNTA]],ENCUESTA!G:G,ENCUESTA!H:H)</f>
        <v>0</v>
      </c>
      <c r="P11" s="34">
        <f>IF(Tabla2__2[[#This Row],[RTA]]=Tabla2__2[[#This Row],[RTA CORRECTA]],Tabla2__2[[#This Row],[TOTAL PUNTAJE]],0)</f>
        <v>0</v>
      </c>
      <c r="Q11" s="34">
        <f t="shared" si="0"/>
        <v>0</v>
      </c>
      <c r="R11" s="34"/>
    </row>
    <row r="12" spans="1:21" x14ac:dyDescent="0.35">
      <c r="A12" s="34" t="s">
        <v>108</v>
      </c>
      <c r="B12" s="34" t="s">
        <v>210</v>
      </c>
      <c r="C12" t="s">
        <v>14</v>
      </c>
      <c r="D12" s="34" t="s">
        <v>14</v>
      </c>
      <c r="E12" s="34">
        <v>425892</v>
      </c>
      <c r="F12" s="34" t="s">
        <v>212</v>
      </c>
      <c r="G12" s="34" t="s">
        <v>94</v>
      </c>
      <c r="H12" s="34" t="s">
        <v>164</v>
      </c>
      <c r="I12" s="35"/>
      <c r="J12" s="34">
        <v>31389386</v>
      </c>
      <c r="K12" s="34" t="s">
        <v>120</v>
      </c>
      <c r="L12" s="34" t="str">
        <f>_xlfn.XLOOKUP(Tabla2__2[[#This Row],[CODIGO RUTA]],'DATA INFORME'!I:I,'DATA INFORME'!K:K)</f>
        <v>SI</v>
      </c>
      <c r="M12" s="34" t="str">
        <f>IF(Tabla2__2[[#This Row],[MYSTERY EFECTIVO]]="SI",_xlfn.XLOOKUP(Tabla2__2[[#This Row],[PREGUNTA]],ENCUESTA!G:G,ENCUESTA!D:D),"N/A")</f>
        <v>PRESENTACIÓN PERSONAL</v>
      </c>
      <c r="N12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</v>
      </c>
      <c r="O12" s="34" t="str">
        <f>_xlfn.XLOOKUP(Tabla2__2[[#This Row],[PREGUNTA]],ENCUESTA!G:G,ENCUESTA!H:H)</f>
        <v xml:space="preserve"> NO</v>
      </c>
      <c r="P12" s="34">
        <f>IF(Tabla2__2[[#This Row],[RTA]]=Tabla2__2[[#This Row],[RTA CORRECTA]],Tabla2__2[[#This Row],[TOTAL PUNTAJE]],0)</f>
        <v>1</v>
      </c>
      <c r="Q12" s="34">
        <f t="shared" si="0"/>
        <v>0</v>
      </c>
      <c r="R12" s="34"/>
    </row>
    <row r="13" spans="1:21" x14ac:dyDescent="0.35">
      <c r="A13" s="34" t="s">
        <v>108</v>
      </c>
      <c r="B13" s="34" t="s">
        <v>8</v>
      </c>
      <c r="C13" t="s">
        <v>14</v>
      </c>
      <c r="D13" s="34" t="s">
        <v>14</v>
      </c>
      <c r="E13" s="34">
        <v>555967</v>
      </c>
      <c r="F13" s="34" t="s">
        <v>201</v>
      </c>
      <c r="G13" s="34" t="s">
        <v>102</v>
      </c>
      <c r="H13" s="34" t="s">
        <v>164</v>
      </c>
      <c r="I13" s="35"/>
      <c r="J13" s="34">
        <v>31379123</v>
      </c>
      <c r="K13" s="34" t="s">
        <v>130</v>
      </c>
      <c r="L13" s="34" t="str">
        <f>_xlfn.XLOOKUP(Tabla2__2[[#This Row],[CODIGO RUTA]],'DATA INFORME'!I:I,'DATA INFORME'!K:K)</f>
        <v>SI</v>
      </c>
      <c r="M13" s="34" t="str">
        <f>IF(Tabla2__2[[#This Row],[MYSTERY EFECTIVO]]="SI",_xlfn.XLOOKUP(Tabla2__2[[#This Row],[PREGUNTA]],ENCUESTA!G:G,ENCUESTA!D:D),"N/A")</f>
        <v>N/A</v>
      </c>
      <c r="N13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13" s="34">
        <f>_xlfn.XLOOKUP(Tabla2__2[[#This Row],[PREGUNTA]],ENCUESTA!G:G,ENCUESTA!H:H)</f>
        <v>0</v>
      </c>
      <c r="P13" s="34">
        <f>IF(Tabla2__2[[#This Row],[RTA]]=Tabla2__2[[#This Row],[RTA CORRECTA]],Tabla2__2[[#This Row],[TOTAL PUNTAJE]],0)</f>
        <v>0</v>
      </c>
      <c r="Q13" s="34">
        <f t="shared" si="0"/>
        <v>0</v>
      </c>
      <c r="R13" s="34"/>
    </row>
    <row r="14" spans="1:21" x14ac:dyDescent="0.35">
      <c r="A14" s="34" t="s">
        <v>108</v>
      </c>
      <c r="B14" s="34" t="s">
        <v>8</v>
      </c>
      <c r="C14" t="s">
        <v>14</v>
      </c>
      <c r="D14" s="34" t="s">
        <v>14</v>
      </c>
      <c r="E14" s="34">
        <v>555967</v>
      </c>
      <c r="F14" s="34" t="s">
        <v>201</v>
      </c>
      <c r="G14" s="34" t="s">
        <v>123</v>
      </c>
      <c r="H14" s="34" t="s">
        <v>20</v>
      </c>
      <c r="I14" s="35"/>
      <c r="J14" s="34">
        <v>31379123</v>
      </c>
      <c r="K14" s="34" t="s">
        <v>130</v>
      </c>
      <c r="L14" s="34" t="str">
        <f>_xlfn.XLOOKUP(Tabla2__2[[#This Row],[CODIGO RUTA]],'DATA INFORME'!I:I,'DATA INFORME'!K:K)</f>
        <v>SI</v>
      </c>
      <c r="M14" s="34" t="str">
        <f>IF(Tabla2__2[[#This Row],[MYSTERY EFECTIVO]]="SI",_xlfn.XLOOKUP(Tabla2__2[[#This Row],[PREGUNTA]],ENCUESTA!G:G,ENCUESTA!D:D),"N/A")</f>
        <v>ACTIVIDADES DEL MES</v>
      </c>
      <c r="N14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6.666666666666667</v>
      </c>
      <c r="O14" s="34" t="str">
        <f>_xlfn.XLOOKUP(Tabla2__2[[#This Row],[PREGUNTA]],ENCUESTA!G:G,ENCUESTA!H:H)</f>
        <v>SI</v>
      </c>
      <c r="P14" s="34">
        <f>IF(Tabla2__2[[#This Row],[RTA]]=Tabla2__2[[#This Row],[RTA CORRECTA]],Tabla2__2[[#This Row],[TOTAL PUNTAJE]],0)</f>
        <v>6.666666666666667</v>
      </c>
      <c r="Q14" s="34">
        <f t="shared" si="0"/>
        <v>0</v>
      </c>
      <c r="R14" s="34"/>
    </row>
    <row r="15" spans="1:21" x14ac:dyDescent="0.35">
      <c r="A15" s="34" t="s">
        <v>108</v>
      </c>
      <c r="B15" s="34" t="s">
        <v>8</v>
      </c>
      <c r="C15" t="s">
        <v>14</v>
      </c>
      <c r="D15" s="34" t="s">
        <v>14</v>
      </c>
      <c r="E15" s="34">
        <v>555967</v>
      </c>
      <c r="F15" s="34" t="s">
        <v>201</v>
      </c>
      <c r="G15" s="34" t="s">
        <v>208</v>
      </c>
      <c r="H15" s="34" t="s">
        <v>20</v>
      </c>
      <c r="I15" s="35"/>
      <c r="J15" s="34">
        <v>31379123</v>
      </c>
      <c r="K15" s="34" t="s">
        <v>130</v>
      </c>
      <c r="L15" s="34" t="str">
        <f>_xlfn.XLOOKUP(Tabla2__2[[#This Row],[CODIGO RUTA]],'DATA INFORME'!I:I,'DATA INFORME'!K:K)</f>
        <v>SI</v>
      </c>
      <c r="M15" s="34" t="str">
        <f>IF(Tabla2__2[[#This Row],[MYSTERY EFECTIVO]]="SI",_xlfn.XLOOKUP(Tabla2__2[[#This Row],[PREGUNTA]],ENCUESTA!G:G,ENCUESTA!D:D),"N/A")</f>
        <v>ACTIVIDADES DEL MES</v>
      </c>
      <c r="N15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6.666666666666667</v>
      </c>
      <c r="O15" s="34" t="str">
        <f>_xlfn.XLOOKUP(Tabla2__2[[#This Row],[PREGUNTA]],ENCUESTA!G:G,ENCUESTA!H:H)</f>
        <v>SI</v>
      </c>
      <c r="P15" s="34">
        <f>IF(Tabla2__2[[#This Row],[RTA]]=Tabla2__2[[#This Row],[RTA CORRECTA]],Tabla2__2[[#This Row],[TOTAL PUNTAJE]],0)</f>
        <v>6.666666666666667</v>
      </c>
      <c r="Q15" s="34">
        <f t="shared" si="0"/>
        <v>0</v>
      </c>
      <c r="R15" s="34"/>
    </row>
    <row r="16" spans="1:21" x14ac:dyDescent="0.35">
      <c r="A16" s="34" t="s">
        <v>108</v>
      </c>
      <c r="B16" s="34" t="s">
        <v>8</v>
      </c>
      <c r="C16" t="s">
        <v>14</v>
      </c>
      <c r="D16" s="34" t="s">
        <v>14</v>
      </c>
      <c r="E16" s="34">
        <v>555967</v>
      </c>
      <c r="F16" s="34" t="s">
        <v>201</v>
      </c>
      <c r="G16" s="34" t="s">
        <v>116</v>
      </c>
      <c r="H16" s="34" t="s">
        <v>20</v>
      </c>
      <c r="I16" s="35"/>
      <c r="J16" s="34">
        <v>31379123</v>
      </c>
      <c r="K16" s="34" t="s">
        <v>130</v>
      </c>
      <c r="L16" s="34" t="str">
        <f>_xlfn.XLOOKUP(Tabla2__2[[#This Row],[CODIGO RUTA]],'DATA INFORME'!I:I,'DATA INFORME'!K:K)</f>
        <v>SI</v>
      </c>
      <c r="M16" s="34" t="str">
        <f>IF(Tabla2__2[[#This Row],[MYSTERY EFECTIVO]]="SI",_xlfn.XLOOKUP(Tabla2__2[[#This Row],[PREGUNTA]],ENCUESTA!G:G,ENCUESTA!D:D),"N/A")</f>
        <v>ACTIVIDADES DEL MES</v>
      </c>
      <c r="N16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6.666666666666667</v>
      </c>
      <c r="O16" s="34" t="str">
        <f>_xlfn.XLOOKUP(Tabla2__2[[#This Row],[PREGUNTA]],ENCUESTA!G:G,ENCUESTA!H:H)</f>
        <v>SI</v>
      </c>
      <c r="P16" s="34">
        <f>IF(Tabla2__2[[#This Row],[RTA]]=Tabla2__2[[#This Row],[RTA CORRECTA]],Tabla2__2[[#This Row],[TOTAL PUNTAJE]],0)</f>
        <v>6.666666666666667</v>
      </c>
      <c r="Q16" s="34">
        <f t="shared" si="0"/>
        <v>0</v>
      </c>
      <c r="R16" s="34"/>
    </row>
    <row r="17" spans="1:18" x14ac:dyDescent="0.35">
      <c r="A17" s="34" t="s">
        <v>108</v>
      </c>
      <c r="B17" s="34" t="s">
        <v>8</v>
      </c>
      <c r="C17" t="s">
        <v>14</v>
      </c>
      <c r="D17" s="34" t="s">
        <v>14</v>
      </c>
      <c r="E17" s="34">
        <v>555967</v>
      </c>
      <c r="F17" s="34" t="s">
        <v>201</v>
      </c>
      <c r="G17" s="34" t="s">
        <v>115</v>
      </c>
      <c r="H17" s="34" t="s">
        <v>20</v>
      </c>
      <c r="I17" s="35"/>
      <c r="J17" s="34">
        <v>31379123</v>
      </c>
      <c r="K17" s="34" t="s">
        <v>130</v>
      </c>
      <c r="L17" s="34" t="str">
        <f>_xlfn.XLOOKUP(Tabla2__2[[#This Row],[CODIGO RUTA]],'DATA INFORME'!I:I,'DATA INFORME'!K:K)</f>
        <v>SI</v>
      </c>
      <c r="M17" s="34" t="str">
        <f>IF(Tabla2__2[[#This Row],[MYSTERY EFECTIVO]]="SI",_xlfn.XLOOKUP(Tabla2__2[[#This Row],[PREGUNTA]],ENCUESTA!G:G,ENCUESTA!D:D),"N/A")</f>
        <v>ACTIVIDADES DEL MES</v>
      </c>
      <c r="N17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6.666666666666667</v>
      </c>
      <c r="O17" s="34" t="str">
        <f>_xlfn.XLOOKUP(Tabla2__2[[#This Row],[PREGUNTA]],ENCUESTA!G:G,ENCUESTA!H:H)</f>
        <v>SI</v>
      </c>
      <c r="P17" s="34">
        <f>IF(Tabla2__2[[#This Row],[RTA]]=Tabla2__2[[#This Row],[RTA CORRECTA]],Tabla2__2[[#This Row],[TOTAL PUNTAJE]],0)</f>
        <v>6.666666666666667</v>
      </c>
      <c r="Q17" s="34">
        <f t="shared" si="0"/>
        <v>0</v>
      </c>
      <c r="R17" s="34"/>
    </row>
    <row r="18" spans="1:18" x14ac:dyDescent="0.35">
      <c r="A18" s="34" t="s">
        <v>108</v>
      </c>
      <c r="B18" s="34" t="s">
        <v>8</v>
      </c>
      <c r="C18" t="s">
        <v>14</v>
      </c>
      <c r="D18" s="34" t="s">
        <v>14</v>
      </c>
      <c r="E18" s="34">
        <v>555967</v>
      </c>
      <c r="F18" s="34" t="s">
        <v>201</v>
      </c>
      <c r="G18" s="34" t="s">
        <v>138</v>
      </c>
      <c r="H18" s="34" t="s">
        <v>20</v>
      </c>
      <c r="I18" s="35"/>
      <c r="J18" s="34">
        <v>31379123</v>
      </c>
      <c r="K18" s="34" t="s">
        <v>130</v>
      </c>
      <c r="L18" s="34" t="str">
        <f>_xlfn.XLOOKUP(Tabla2__2[[#This Row],[CODIGO RUTA]],'DATA INFORME'!I:I,'DATA INFORME'!K:K)</f>
        <v>SI</v>
      </c>
      <c r="M18" s="34" t="str">
        <f>IF(Tabla2__2[[#This Row],[MYSTERY EFECTIVO]]="SI",_xlfn.XLOOKUP(Tabla2__2[[#This Row],[PREGUNTA]],ENCUESTA!G:G,ENCUESTA!D:D),"N/A")</f>
        <v>ACTIVIDADES DEL MES</v>
      </c>
      <c r="N18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6.666666666666667</v>
      </c>
      <c r="O18" s="34" t="str">
        <f>_xlfn.XLOOKUP(Tabla2__2[[#This Row],[PREGUNTA]],ENCUESTA!G:G,ENCUESTA!H:H)</f>
        <v>SI</v>
      </c>
      <c r="P18" s="34">
        <f>IF(Tabla2__2[[#This Row],[RTA]]=Tabla2__2[[#This Row],[RTA CORRECTA]],Tabla2__2[[#This Row],[TOTAL PUNTAJE]],0)</f>
        <v>6.666666666666667</v>
      </c>
      <c r="Q18" s="34">
        <f t="shared" si="0"/>
        <v>0</v>
      </c>
      <c r="R18" s="34"/>
    </row>
    <row r="19" spans="1:18" x14ac:dyDescent="0.35">
      <c r="A19" s="34" t="s">
        <v>108</v>
      </c>
      <c r="B19" s="34" t="s">
        <v>8</v>
      </c>
      <c r="C19" t="s">
        <v>14</v>
      </c>
      <c r="D19" s="34" t="s">
        <v>14</v>
      </c>
      <c r="E19" s="34">
        <v>555967</v>
      </c>
      <c r="F19" s="34" t="s">
        <v>201</v>
      </c>
      <c r="G19" s="34" t="s">
        <v>101</v>
      </c>
      <c r="H19" s="34" t="s">
        <v>207</v>
      </c>
      <c r="I19" s="35"/>
      <c r="J19" s="34">
        <v>31379123</v>
      </c>
      <c r="K19" s="34" t="s">
        <v>130</v>
      </c>
      <c r="L19" s="34" t="str">
        <f>_xlfn.XLOOKUP(Tabla2__2[[#This Row],[CODIGO RUTA]],'DATA INFORME'!I:I,'DATA INFORME'!K:K)</f>
        <v>SI</v>
      </c>
      <c r="M19" s="34" t="str">
        <f>IF(Tabla2__2[[#This Row],[MYSTERY EFECTIVO]]="SI",_xlfn.XLOOKUP(Tabla2__2[[#This Row],[PREGUNTA]],ENCUESTA!G:G,ENCUESTA!D:D),"N/A")</f>
        <v>N/A</v>
      </c>
      <c r="N19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19" s="34">
        <f>_xlfn.XLOOKUP(Tabla2__2[[#This Row],[PREGUNTA]],ENCUESTA!G:G,ENCUESTA!H:H)</f>
        <v>0</v>
      </c>
      <c r="P19" s="34">
        <f>IF(Tabla2__2[[#This Row],[RTA]]=Tabla2__2[[#This Row],[RTA CORRECTA]],Tabla2__2[[#This Row],[TOTAL PUNTAJE]],0)</f>
        <v>0</v>
      </c>
      <c r="Q19" s="34">
        <f t="shared" si="0"/>
        <v>0</v>
      </c>
      <c r="R19" s="34"/>
    </row>
    <row r="20" spans="1:18" x14ac:dyDescent="0.35">
      <c r="A20" s="34" t="s">
        <v>108</v>
      </c>
      <c r="B20" s="34" t="s">
        <v>8</v>
      </c>
      <c r="C20" t="s">
        <v>14</v>
      </c>
      <c r="D20" s="34" t="s">
        <v>14</v>
      </c>
      <c r="E20" s="34">
        <v>555967</v>
      </c>
      <c r="F20" s="34" t="s">
        <v>201</v>
      </c>
      <c r="G20" s="34" t="s">
        <v>185</v>
      </c>
      <c r="H20" s="34" t="s">
        <v>20</v>
      </c>
      <c r="I20" s="35"/>
      <c r="J20" s="34">
        <v>31379123</v>
      </c>
      <c r="K20" s="34" t="s">
        <v>130</v>
      </c>
      <c r="L20" s="34" t="str">
        <f>_xlfn.XLOOKUP(Tabla2__2[[#This Row],[CODIGO RUTA]],'DATA INFORME'!I:I,'DATA INFORME'!K:K)</f>
        <v>SI</v>
      </c>
      <c r="M20" s="34" t="str">
        <f>IF(Tabla2__2[[#This Row],[MYSTERY EFECTIVO]]="SI",_xlfn.XLOOKUP(Tabla2__2[[#This Row],[PREGUNTA]],ENCUESTA!G:G,ENCUESTA!D:D),"N/A")</f>
        <v>EJECUCIÓN DEL PDV</v>
      </c>
      <c r="N20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20" s="34" t="str">
        <f>_xlfn.XLOOKUP(Tabla2__2[[#This Row],[PREGUNTA]],ENCUESTA!G:G,ENCUESTA!H:H)</f>
        <v>SI</v>
      </c>
      <c r="P20" s="34">
        <f>IF(Tabla2__2[[#This Row],[RTA]]=Tabla2__2[[#This Row],[RTA CORRECTA]],Tabla2__2[[#This Row],[TOTAL PUNTAJE]],0)</f>
        <v>0</v>
      </c>
      <c r="Q20" s="34">
        <f t="shared" si="0"/>
        <v>0</v>
      </c>
      <c r="R20" s="34"/>
    </row>
    <row r="21" spans="1:18" x14ac:dyDescent="0.35">
      <c r="A21" s="34" t="s">
        <v>108</v>
      </c>
      <c r="B21" s="34" t="s">
        <v>8</v>
      </c>
      <c r="C21" t="s">
        <v>14</v>
      </c>
      <c r="D21" s="34" t="s">
        <v>14</v>
      </c>
      <c r="E21" s="34">
        <v>555967</v>
      </c>
      <c r="F21" s="34" t="s">
        <v>201</v>
      </c>
      <c r="G21" s="34" t="s">
        <v>122</v>
      </c>
      <c r="H21" s="34" t="s">
        <v>20</v>
      </c>
      <c r="I21" s="35"/>
      <c r="J21" s="34">
        <v>31379123</v>
      </c>
      <c r="K21" s="34" t="s">
        <v>130</v>
      </c>
      <c r="L21" s="34" t="str">
        <f>_xlfn.XLOOKUP(Tabla2__2[[#This Row],[CODIGO RUTA]],'DATA INFORME'!I:I,'DATA INFORME'!K:K)</f>
        <v>SI</v>
      </c>
      <c r="M21" s="34" t="str">
        <f>IF(Tabla2__2[[#This Row],[MYSTERY EFECTIVO]]="SI",_xlfn.XLOOKUP(Tabla2__2[[#This Row],[PREGUNTA]],ENCUESTA!G:G,ENCUESTA!D:D),"N/A")</f>
        <v>EJECUCIÓN DEL PDV</v>
      </c>
      <c r="N21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21" s="34" t="str">
        <f>_xlfn.XLOOKUP(Tabla2__2[[#This Row],[PREGUNTA]],ENCUESTA!G:G,ENCUESTA!H:H)</f>
        <v>SI</v>
      </c>
      <c r="P21" s="34">
        <f>IF(Tabla2__2[[#This Row],[RTA]]=Tabla2__2[[#This Row],[RTA CORRECTA]],Tabla2__2[[#This Row],[TOTAL PUNTAJE]],0)</f>
        <v>0</v>
      </c>
      <c r="Q21" s="34">
        <f t="shared" si="0"/>
        <v>0</v>
      </c>
      <c r="R21" s="34"/>
    </row>
    <row r="22" spans="1:18" x14ac:dyDescent="0.35">
      <c r="A22" s="34" t="s">
        <v>108</v>
      </c>
      <c r="B22" s="34" t="s">
        <v>8</v>
      </c>
      <c r="C22" t="s">
        <v>14</v>
      </c>
      <c r="D22" s="34" t="s">
        <v>14</v>
      </c>
      <c r="E22" s="34">
        <v>555967</v>
      </c>
      <c r="F22" s="34" t="s">
        <v>201</v>
      </c>
      <c r="G22" s="34" t="s">
        <v>182</v>
      </c>
      <c r="H22" s="34" t="s">
        <v>20</v>
      </c>
      <c r="I22" s="35"/>
      <c r="J22" s="34">
        <v>31379123</v>
      </c>
      <c r="K22" s="34" t="s">
        <v>130</v>
      </c>
      <c r="L22" s="34" t="str">
        <f>_xlfn.XLOOKUP(Tabla2__2[[#This Row],[CODIGO RUTA]],'DATA INFORME'!I:I,'DATA INFORME'!K:K)</f>
        <v>SI</v>
      </c>
      <c r="M22" s="34" t="str">
        <f>IF(Tabla2__2[[#This Row],[MYSTERY EFECTIVO]]="SI",_xlfn.XLOOKUP(Tabla2__2[[#This Row],[PREGUNTA]],ENCUESTA!G:G,ENCUESTA!D:D),"N/A")</f>
        <v>EJECUCIÓN DEL PDV</v>
      </c>
      <c r="N22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5.333333333333333</v>
      </c>
      <c r="O22" s="34" t="str">
        <f>_xlfn.XLOOKUP(Tabla2__2[[#This Row],[PREGUNTA]],ENCUESTA!G:G,ENCUESTA!H:H)</f>
        <v>SI</v>
      </c>
      <c r="P22" s="34">
        <f>IF(Tabla2__2[[#This Row],[RTA]]=Tabla2__2[[#This Row],[RTA CORRECTA]],Tabla2__2[[#This Row],[TOTAL PUNTAJE]],0)</f>
        <v>5.333333333333333</v>
      </c>
      <c r="Q22" s="34">
        <f t="shared" si="0"/>
        <v>0</v>
      </c>
      <c r="R22" s="34"/>
    </row>
    <row r="23" spans="1:18" x14ac:dyDescent="0.35">
      <c r="A23" s="34" t="s">
        <v>108</v>
      </c>
      <c r="B23" s="34" t="s">
        <v>8</v>
      </c>
      <c r="C23" t="s">
        <v>14</v>
      </c>
      <c r="D23" s="34" t="s">
        <v>14</v>
      </c>
      <c r="E23" s="34">
        <v>555967</v>
      </c>
      <c r="F23" s="34" t="s">
        <v>201</v>
      </c>
      <c r="G23" s="34" t="s">
        <v>209</v>
      </c>
      <c r="H23" s="34" t="s">
        <v>20</v>
      </c>
      <c r="I23" s="35"/>
      <c r="J23" s="34">
        <v>31379123</v>
      </c>
      <c r="K23" s="34" t="s">
        <v>130</v>
      </c>
      <c r="L23" s="34" t="str">
        <f>_xlfn.XLOOKUP(Tabla2__2[[#This Row],[CODIGO RUTA]],'DATA INFORME'!I:I,'DATA INFORME'!K:K)</f>
        <v>SI</v>
      </c>
      <c r="M23" s="34" t="str">
        <f>IF(Tabla2__2[[#This Row],[MYSTERY EFECTIVO]]="SI",_xlfn.XLOOKUP(Tabla2__2[[#This Row],[PREGUNTA]],ENCUESTA!G:G,ENCUESTA!D:D),"N/A")</f>
        <v>ACTIVIDADES DEL MES</v>
      </c>
      <c r="N23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6.666666666666667</v>
      </c>
      <c r="O23" s="34" t="str">
        <f>_xlfn.XLOOKUP(Tabla2__2[[#This Row],[PREGUNTA]],ENCUESTA!G:G,ENCUESTA!H:H)</f>
        <v>SI</v>
      </c>
      <c r="P23" s="34">
        <f>IF(Tabla2__2[[#This Row],[RTA]]=Tabla2__2[[#This Row],[RTA CORRECTA]],Tabla2__2[[#This Row],[TOTAL PUNTAJE]],0)</f>
        <v>6.666666666666667</v>
      </c>
      <c r="Q23" s="34">
        <f t="shared" si="0"/>
        <v>0</v>
      </c>
      <c r="R23" s="34"/>
    </row>
    <row r="24" spans="1:18" x14ac:dyDescent="0.35">
      <c r="A24" s="34" t="s">
        <v>108</v>
      </c>
      <c r="B24" s="34" t="s">
        <v>210</v>
      </c>
      <c r="C24" t="s">
        <v>14</v>
      </c>
      <c r="D24" s="34" t="s">
        <v>14</v>
      </c>
      <c r="E24" s="34">
        <v>425892</v>
      </c>
      <c r="F24" s="34" t="s">
        <v>212</v>
      </c>
      <c r="G24" s="34" t="s">
        <v>95</v>
      </c>
      <c r="H24" s="34" t="s">
        <v>164</v>
      </c>
      <c r="I24" s="35"/>
      <c r="J24" s="34">
        <v>31389386</v>
      </c>
      <c r="K24" s="34" t="s">
        <v>120</v>
      </c>
      <c r="L24" s="34" t="str">
        <f>_xlfn.XLOOKUP(Tabla2__2[[#This Row],[CODIGO RUTA]],'DATA INFORME'!I:I,'DATA INFORME'!K:K)</f>
        <v>SI</v>
      </c>
      <c r="M24" s="34" t="str">
        <f>IF(Tabla2__2[[#This Row],[MYSTERY EFECTIVO]]="SI",_xlfn.XLOOKUP(Tabla2__2[[#This Row],[PREGUNTA]],ENCUESTA!G:G,ENCUESTA!D:D),"N/A")</f>
        <v>PRESENTACIÓN PERSONAL</v>
      </c>
      <c r="N24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</v>
      </c>
      <c r="O24" s="34" t="str">
        <f>_xlfn.XLOOKUP(Tabla2__2[[#This Row],[PREGUNTA]],ENCUESTA!G:G,ENCUESTA!H:H)</f>
        <v xml:space="preserve"> NO</v>
      </c>
      <c r="P24" s="34">
        <f>IF(Tabla2__2[[#This Row],[RTA]]=Tabla2__2[[#This Row],[RTA CORRECTA]],Tabla2__2[[#This Row],[TOTAL PUNTAJE]],0)</f>
        <v>1</v>
      </c>
      <c r="Q24" s="34">
        <f t="shared" si="0"/>
        <v>0</v>
      </c>
      <c r="R24" s="34"/>
    </row>
    <row r="25" spans="1:18" x14ac:dyDescent="0.35">
      <c r="A25" s="34" t="s">
        <v>108</v>
      </c>
      <c r="B25" s="34" t="s">
        <v>210</v>
      </c>
      <c r="C25" t="s">
        <v>14</v>
      </c>
      <c r="D25" s="34" t="s">
        <v>14</v>
      </c>
      <c r="E25" s="34">
        <v>425892</v>
      </c>
      <c r="F25" s="34" t="s">
        <v>212</v>
      </c>
      <c r="G25" s="34" t="s">
        <v>96</v>
      </c>
      <c r="H25" s="34" t="s">
        <v>164</v>
      </c>
      <c r="I25" s="35"/>
      <c r="J25" s="34">
        <v>31389386</v>
      </c>
      <c r="K25" s="34" t="s">
        <v>120</v>
      </c>
      <c r="L25" s="34" t="str">
        <f>_xlfn.XLOOKUP(Tabla2__2[[#This Row],[CODIGO RUTA]],'DATA INFORME'!I:I,'DATA INFORME'!K:K)</f>
        <v>SI</v>
      </c>
      <c r="M25" s="34" t="str">
        <f>IF(Tabla2__2[[#This Row],[MYSTERY EFECTIVO]]="SI",_xlfn.XLOOKUP(Tabla2__2[[#This Row],[PREGUNTA]],ENCUESTA!G:G,ENCUESTA!D:D),"N/A")</f>
        <v>PRESENTACIÓN PERSONAL</v>
      </c>
      <c r="N25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</v>
      </c>
      <c r="O25" s="34" t="str">
        <f>_xlfn.XLOOKUP(Tabla2__2[[#This Row],[PREGUNTA]],ENCUESTA!G:G,ENCUESTA!H:H)</f>
        <v xml:space="preserve"> NO</v>
      </c>
      <c r="P25" s="34">
        <f>IF(Tabla2__2[[#This Row],[RTA]]=Tabla2__2[[#This Row],[RTA CORRECTA]],Tabla2__2[[#This Row],[TOTAL PUNTAJE]],0)</f>
        <v>1</v>
      </c>
      <c r="Q25" s="34">
        <f t="shared" si="0"/>
        <v>0</v>
      </c>
      <c r="R25" s="34"/>
    </row>
    <row r="26" spans="1:18" x14ac:dyDescent="0.35">
      <c r="A26" s="34" t="s">
        <v>108</v>
      </c>
      <c r="B26" s="34" t="s">
        <v>210</v>
      </c>
      <c r="C26" t="s">
        <v>14</v>
      </c>
      <c r="D26" s="34" t="s">
        <v>14</v>
      </c>
      <c r="E26" s="34">
        <v>425892</v>
      </c>
      <c r="F26" s="34" t="s">
        <v>212</v>
      </c>
      <c r="G26" s="34" t="s">
        <v>97</v>
      </c>
      <c r="H26" s="34" t="s">
        <v>164</v>
      </c>
      <c r="I26" s="35"/>
      <c r="J26" s="34">
        <v>31389386</v>
      </c>
      <c r="K26" s="34" t="s">
        <v>120</v>
      </c>
      <c r="L26" s="34" t="str">
        <f>_xlfn.XLOOKUP(Tabla2__2[[#This Row],[CODIGO RUTA]],'DATA INFORME'!I:I,'DATA INFORME'!K:K)</f>
        <v>SI</v>
      </c>
      <c r="M26" s="34" t="str">
        <f>IF(Tabla2__2[[#This Row],[MYSTERY EFECTIVO]]="SI",_xlfn.XLOOKUP(Tabla2__2[[#This Row],[PREGUNTA]],ENCUESTA!G:G,ENCUESTA!D:D),"N/A")</f>
        <v>PRESENTACIÓN PERSONAL</v>
      </c>
      <c r="N26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</v>
      </c>
      <c r="O26" s="34" t="str">
        <f>_xlfn.XLOOKUP(Tabla2__2[[#This Row],[PREGUNTA]],ENCUESTA!G:G,ENCUESTA!H:H)</f>
        <v xml:space="preserve"> NO</v>
      </c>
      <c r="P26" s="34">
        <f>IF(Tabla2__2[[#This Row],[RTA]]=Tabla2__2[[#This Row],[RTA CORRECTA]],Tabla2__2[[#This Row],[TOTAL PUNTAJE]],0)</f>
        <v>1</v>
      </c>
      <c r="Q26" s="34">
        <f t="shared" si="0"/>
        <v>0</v>
      </c>
      <c r="R26" s="34"/>
    </row>
    <row r="27" spans="1:18" x14ac:dyDescent="0.35">
      <c r="A27" s="34" t="s">
        <v>108</v>
      </c>
      <c r="B27" s="34" t="s">
        <v>8</v>
      </c>
      <c r="C27" t="s">
        <v>43</v>
      </c>
      <c r="D27" s="34" t="s">
        <v>43</v>
      </c>
      <c r="E27" s="34">
        <v>103263</v>
      </c>
      <c r="F27" s="34" t="s">
        <v>249</v>
      </c>
      <c r="G27" s="34" t="s">
        <v>87</v>
      </c>
      <c r="H27" s="34" t="s">
        <v>164</v>
      </c>
      <c r="I27" s="35"/>
      <c r="J27" s="34">
        <v>31465725</v>
      </c>
      <c r="K27" s="34" t="s">
        <v>130</v>
      </c>
      <c r="L27" s="34" t="str">
        <f>_xlfn.XLOOKUP(Tabla2__2[[#This Row],[CODIGO RUTA]],'DATA INFORME'!I:I,'DATA INFORME'!K:K)</f>
        <v xml:space="preserve"> NO</v>
      </c>
      <c r="M27" s="34" t="str">
        <f>IF(Tabla2__2[[#This Row],[MYSTERY EFECTIVO]]="SI",_xlfn.XLOOKUP(Tabla2__2[[#This Row],[PREGUNTA]],ENCUESTA!G:G,ENCUESTA!D:D),"N/A")</f>
        <v>N/A</v>
      </c>
      <c r="N27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27" s="34">
        <f>_xlfn.XLOOKUP(Tabla2__2[[#This Row],[PREGUNTA]],ENCUESTA!G:G,ENCUESTA!H:H)</f>
        <v>0</v>
      </c>
      <c r="P27" s="34">
        <f>IF(Tabla2__2[[#This Row],[RTA]]=Tabla2__2[[#This Row],[RTA CORRECTA]],Tabla2__2[[#This Row],[TOTAL PUNTAJE]],0)</f>
        <v>0</v>
      </c>
      <c r="Q27" s="34">
        <f t="shared" si="0"/>
        <v>0</v>
      </c>
      <c r="R27" s="34"/>
    </row>
    <row r="28" spans="1:18" x14ac:dyDescent="0.35">
      <c r="A28" s="34" t="s">
        <v>108</v>
      </c>
      <c r="B28" s="34" t="s">
        <v>210</v>
      </c>
      <c r="C28" t="s">
        <v>14</v>
      </c>
      <c r="D28" s="34" t="s">
        <v>14</v>
      </c>
      <c r="E28" s="34">
        <v>425892</v>
      </c>
      <c r="F28" s="34" t="s">
        <v>212</v>
      </c>
      <c r="G28" s="34" t="s">
        <v>103</v>
      </c>
      <c r="H28" s="34" t="s">
        <v>261</v>
      </c>
      <c r="I28" s="35"/>
      <c r="J28" s="34">
        <v>31389386</v>
      </c>
      <c r="K28" s="34" t="s">
        <v>120</v>
      </c>
      <c r="L28" s="34" t="str">
        <f>_xlfn.XLOOKUP(Tabla2__2[[#This Row],[CODIGO RUTA]],'DATA INFORME'!I:I,'DATA INFORME'!K:K)</f>
        <v>SI</v>
      </c>
      <c r="M28" s="34" t="str">
        <f>IF(Tabla2__2[[#This Row],[MYSTERY EFECTIVO]]="SI",_xlfn.XLOOKUP(Tabla2__2[[#This Row],[PREGUNTA]],ENCUESTA!G:G,ENCUESTA!D:D),"N/A")</f>
        <v>N/A</v>
      </c>
      <c r="N28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28" s="34">
        <f>_xlfn.XLOOKUP(Tabla2__2[[#This Row],[PREGUNTA]],ENCUESTA!G:G,ENCUESTA!H:H)</f>
        <v>0</v>
      </c>
      <c r="P28" s="34">
        <f>IF(Tabla2__2[[#This Row],[RTA]]=Tabla2__2[[#This Row],[RTA CORRECTA]],Tabla2__2[[#This Row],[TOTAL PUNTAJE]],0)</f>
        <v>0</v>
      </c>
      <c r="Q28" s="34">
        <f t="shared" si="0"/>
        <v>0</v>
      </c>
      <c r="R28" s="34"/>
    </row>
    <row r="29" spans="1:18" x14ac:dyDescent="0.35">
      <c r="A29" s="34" t="s">
        <v>108</v>
      </c>
      <c r="B29" s="34" t="s">
        <v>210</v>
      </c>
      <c r="C29" t="s">
        <v>14</v>
      </c>
      <c r="D29" s="34" t="s">
        <v>14</v>
      </c>
      <c r="E29" s="34">
        <v>425892</v>
      </c>
      <c r="F29" s="34" t="s">
        <v>212</v>
      </c>
      <c r="G29" s="34" t="s">
        <v>102</v>
      </c>
      <c r="H29" s="34" t="s">
        <v>164</v>
      </c>
      <c r="I29" s="35"/>
      <c r="J29" s="34">
        <v>31389386</v>
      </c>
      <c r="K29" s="34" t="s">
        <v>120</v>
      </c>
      <c r="L29" s="34" t="str">
        <f>_xlfn.XLOOKUP(Tabla2__2[[#This Row],[CODIGO RUTA]],'DATA INFORME'!I:I,'DATA INFORME'!K:K)</f>
        <v>SI</v>
      </c>
      <c r="M29" s="34" t="str">
        <f>IF(Tabla2__2[[#This Row],[MYSTERY EFECTIVO]]="SI",_xlfn.XLOOKUP(Tabla2__2[[#This Row],[PREGUNTA]],ENCUESTA!G:G,ENCUESTA!D:D),"N/A")</f>
        <v>N/A</v>
      </c>
      <c r="N29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29" s="34">
        <f>_xlfn.XLOOKUP(Tabla2__2[[#This Row],[PREGUNTA]],ENCUESTA!G:G,ENCUESTA!H:H)</f>
        <v>0</v>
      </c>
      <c r="P29" s="34">
        <f>IF(Tabla2__2[[#This Row],[RTA]]=Tabla2__2[[#This Row],[RTA CORRECTA]],Tabla2__2[[#This Row],[TOTAL PUNTAJE]],0)</f>
        <v>0</v>
      </c>
      <c r="Q29" s="34">
        <f t="shared" si="0"/>
        <v>0</v>
      </c>
      <c r="R29" s="34"/>
    </row>
    <row r="30" spans="1:18" x14ac:dyDescent="0.35">
      <c r="A30" s="34" t="s">
        <v>108</v>
      </c>
      <c r="B30" s="34" t="s">
        <v>210</v>
      </c>
      <c r="C30" t="s">
        <v>14</v>
      </c>
      <c r="D30" s="34" t="s">
        <v>14</v>
      </c>
      <c r="E30" s="34">
        <v>425892</v>
      </c>
      <c r="F30" s="34" t="s">
        <v>212</v>
      </c>
      <c r="G30" s="34" t="s">
        <v>209</v>
      </c>
      <c r="H30" s="34" t="s">
        <v>20</v>
      </c>
      <c r="I30" s="35"/>
      <c r="J30" s="34">
        <v>31389386</v>
      </c>
      <c r="K30" s="34" t="s">
        <v>120</v>
      </c>
      <c r="L30" s="34" t="str">
        <f>_xlfn.XLOOKUP(Tabla2__2[[#This Row],[CODIGO RUTA]],'DATA INFORME'!I:I,'DATA INFORME'!K:K)</f>
        <v>SI</v>
      </c>
      <c r="M30" s="34" t="str">
        <f>IF(Tabla2__2[[#This Row],[MYSTERY EFECTIVO]]="SI",_xlfn.XLOOKUP(Tabla2__2[[#This Row],[PREGUNTA]],ENCUESTA!G:G,ENCUESTA!D:D),"N/A")</f>
        <v>ACTIVIDADES DEL MES</v>
      </c>
      <c r="N30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6.666666666666667</v>
      </c>
      <c r="O30" s="34" t="str">
        <f>_xlfn.XLOOKUP(Tabla2__2[[#This Row],[PREGUNTA]],ENCUESTA!G:G,ENCUESTA!H:H)</f>
        <v>SI</v>
      </c>
      <c r="P30" s="34">
        <f>IF(Tabla2__2[[#This Row],[RTA]]=Tabla2__2[[#This Row],[RTA CORRECTA]],Tabla2__2[[#This Row],[TOTAL PUNTAJE]],0)</f>
        <v>6.666666666666667</v>
      </c>
      <c r="Q30" s="34">
        <f t="shared" si="0"/>
        <v>0</v>
      </c>
      <c r="R30" s="34"/>
    </row>
    <row r="31" spans="1:18" x14ac:dyDescent="0.35">
      <c r="A31" s="34" t="s">
        <v>108</v>
      </c>
      <c r="B31" s="34" t="s">
        <v>210</v>
      </c>
      <c r="C31" t="s">
        <v>14</v>
      </c>
      <c r="D31" s="34" t="s">
        <v>14</v>
      </c>
      <c r="E31" s="34">
        <v>425892</v>
      </c>
      <c r="F31" s="34" t="s">
        <v>212</v>
      </c>
      <c r="G31" s="34" t="s">
        <v>123</v>
      </c>
      <c r="H31" s="34" t="s">
        <v>20</v>
      </c>
      <c r="I31" s="35"/>
      <c r="J31" s="34">
        <v>31389386</v>
      </c>
      <c r="K31" s="34" t="s">
        <v>120</v>
      </c>
      <c r="L31" s="34" t="str">
        <f>_xlfn.XLOOKUP(Tabla2__2[[#This Row],[CODIGO RUTA]],'DATA INFORME'!I:I,'DATA INFORME'!K:K)</f>
        <v>SI</v>
      </c>
      <c r="M31" s="34" t="str">
        <f>IF(Tabla2__2[[#This Row],[MYSTERY EFECTIVO]]="SI",_xlfn.XLOOKUP(Tabla2__2[[#This Row],[PREGUNTA]],ENCUESTA!G:G,ENCUESTA!D:D),"N/A")</f>
        <v>ACTIVIDADES DEL MES</v>
      </c>
      <c r="N31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6.666666666666667</v>
      </c>
      <c r="O31" s="34" t="str">
        <f>_xlfn.XLOOKUP(Tabla2__2[[#This Row],[PREGUNTA]],ENCUESTA!G:G,ENCUESTA!H:H)</f>
        <v>SI</v>
      </c>
      <c r="P31" s="34">
        <f>IF(Tabla2__2[[#This Row],[RTA]]=Tabla2__2[[#This Row],[RTA CORRECTA]],Tabla2__2[[#This Row],[TOTAL PUNTAJE]],0)</f>
        <v>6.666666666666667</v>
      </c>
      <c r="Q31" s="34">
        <f t="shared" si="0"/>
        <v>0</v>
      </c>
      <c r="R31" s="34"/>
    </row>
    <row r="32" spans="1:18" x14ac:dyDescent="0.35">
      <c r="A32" s="34" t="s">
        <v>108</v>
      </c>
      <c r="B32" s="34" t="s">
        <v>210</v>
      </c>
      <c r="C32" t="s">
        <v>14</v>
      </c>
      <c r="D32" s="34" t="s">
        <v>14</v>
      </c>
      <c r="E32" s="34">
        <v>425892</v>
      </c>
      <c r="F32" s="34" t="s">
        <v>212</v>
      </c>
      <c r="G32" s="34" t="s">
        <v>208</v>
      </c>
      <c r="H32" s="34" t="s">
        <v>20</v>
      </c>
      <c r="I32" s="35"/>
      <c r="J32" s="34">
        <v>31389386</v>
      </c>
      <c r="K32" s="34" t="s">
        <v>120</v>
      </c>
      <c r="L32" s="34" t="str">
        <f>_xlfn.XLOOKUP(Tabla2__2[[#This Row],[CODIGO RUTA]],'DATA INFORME'!I:I,'DATA INFORME'!K:K)</f>
        <v>SI</v>
      </c>
      <c r="M32" s="34" t="str">
        <f>IF(Tabla2__2[[#This Row],[MYSTERY EFECTIVO]]="SI",_xlfn.XLOOKUP(Tabla2__2[[#This Row],[PREGUNTA]],ENCUESTA!G:G,ENCUESTA!D:D),"N/A")</f>
        <v>ACTIVIDADES DEL MES</v>
      </c>
      <c r="N32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6.666666666666667</v>
      </c>
      <c r="O32" s="34" t="str">
        <f>_xlfn.XLOOKUP(Tabla2__2[[#This Row],[PREGUNTA]],ENCUESTA!G:G,ENCUESTA!H:H)</f>
        <v>SI</v>
      </c>
      <c r="P32" s="34">
        <f>IF(Tabla2__2[[#This Row],[RTA]]=Tabla2__2[[#This Row],[RTA CORRECTA]],Tabla2__2[[#This Row],[TOTAL PUNTAJE]],0)</f>
        <v>6.666666666666667</v>
      </c>
      <c r="Q32" s="34">
        <f t="shared" si="0"/>
        <v>0</v>
      </c>
      <c r="R32" s="34"/>
    </row>
    <row r="33" spans="1:18" x14ac:dyDescent="0.35">
      <c r="A33" s="34" t="s">
        <v>108</v>
      </c>
      <c r="B33" s="34" t="s">
        <v>210</v>
      </c>
      <c r="C33" t="s">
        <v>14</v>
      </c>
      <c r="D33" s="34" t="s">
        <v>14</v>
      </c>
      <c r="E33" s="34">
        <v>425892</v>
      </c>
      <c r="F33" s="34" t="s">
        <v>212</v>
      </c>
      <c r="G33" s="34" t="s">
        <v>116</v>
      </c>
      <c r="H33" s="34" t="s">
        <v>20</v>
      </c>
      <c r="I33" s="35"/>
      <c r="J33" s="34">
        <v>31389386</v>
      </c>
      <c r="K33" s="34" t="s">
        <v>120</v>
      </c>
      <c r="L33" s="34" t="str">
        <f>_xlfn.XLOOKUP(Tabla2__2[[#This Row],[CODIGO RUTA]],'DATA INFORME'!I:I,'DATA INFORME'!K:K)</f>
        <v>SI</v>
      </c>
      <c r="M33" s="34" t="str">
        <f>IF(Tabla2__2[[#This Row],[MYSTERY EFECTIVO]]="SI",_xlfn.XLOOKUP(Tabla2__2[[#This Row],[PREGUNTA]],ENCUESTA!G:G,ENCUESTA!D:D),"N/A")</f>
        <v>ACTIVIDADES DEL MES</v>
      </c>
      <c r="N33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6.666666666666667</v>
      </c>
      <c r="O33" s="34" t="str">
        <f>_xlfn.XLOOKUP(Tabla2__2[[#This Row],[PREGUNTA]],ENCUESTA!G:G,ENCUESTA!H:H)</f>
        <v>SI</v>
      </c>
      <c r="P33" s="34">
        <f>IF(Tabla2__2[[#This Row],[RTA]]=Tabla2__2[[#This Row],[RTA CORRECTA]],Tabla2__2[[#This Row],[TOTAL PUNTAJE]],0)</f>
        <v>6.666666666666667</v>
      </c>
      <c r="Q33" s="34">
        <f t="shared" si="0"/>
        <v>0</v>
      </c>
      <c r="R33" s="34"/>
    </row>
    <row r="34" spans="1:18" x14ac:dyDescent="0.35">
      <c r="A34" s="34" t="s">
        <v>108</v>
      </c>
      <c r="B34" s="34" t="s">
        <v>210</v>
      </c>
      <c r="C34" t="s">
        <v>14</v>
      </c>
      <c r="D34" s="34" t="s">
        <v>14</v>
      </c>
      <c r="E34" s="34">
        <v>425892</v>
      </c>
      <c r="F34" s="34" t="s">
        <v>212</v>
      </c>
      <c r="G34" s="34" t="s">
        <v>115</v>
      </c>
      <c r="H34" s="34" t="s">
        <v>20</v>
      </c>
      <c r="I34" s="35"/>
      <c r="J34" s="34">
        <v>31389386</v>
      </c>
      <c r="K34" s="34" t="s">
        <v>120</v>
      </c>
      <c r="L34" s="34" t="str">
        <f>_xlfn.XLOOKUP(Tabla2__2[[#This Row],[CODIGO RUTA]],'DATA INFORME'!I:I,'DATA INFORME'!K:K)</f>
        <v>SI</v>
      </c>
      <c r="M34" s="34" t="str">
        <f>IF(Tabla2__2[[#This Row],[MYSTERY EFECTIVO]]="SI",_xlfn.XLOOKUP(Tabla2__2[[#This Row],[PREGUNTA]],ENCUESTA!G:G,ENCUESTA!D:D),"N/A")</f>
        <v>ACTIVIDADES DEL MES</v>
      </c>
      <c r="N34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6.666666666666667</v>
      </c>
      <c r="O34" s="34" t="str">
        <f>_xlfn.XLOOKUP(Tabla2__2[[#This Row],[PREGUNTA]],ENCUESTA!G:G,ENCUESTA!H:H)</f>
        <v>SI</v>
      </c>
      <c r="P34" s="34">
        <f>IF(Tabla2__2[[#This Row],[RTA]]=Tabla2__2[[#This Row],[RTA CORRECTA]],Tabla2__2[[#This Row],[TOTAL PUNTAJE]],0)</f>
        <v>6.666666666666667</v>
      </c>
      <c r="Q34" s="34">
        <f t="shared" ref="Q34:Q65" si="1">IF(OR(H34="Dog Chow húmedo",H34="Cat Chow húmedo",H34="Fancy Feast",H34="Felix",H34="Proplan húmedo",H34="One húmedo",H34="Snack Abrazzos",H34="Snak Dentalife",H34="Arenilla Tidy Cat"),N34,0)</f>
        <v>0</v>
      </c>
      <c r="R34" s="34"/>
    </row>
    <row r="35" spans="1:18" x14ac:dyDescent="0.35">
      <c r="A35" s="34" t="s">
        <v>108</v>
      </c>
      <c r="B35" s="34" t="s">
        <v>210</v>
      </c>
      <c r="C35" t="s">
        <v>14</v>
      </c>
      <c r="D35" s="34" t="s">
        <v>14</v>
      </c>
      <c r="E35" s="34">
        <v>425892</v>
      </c>
      <c r="F35" s="34" t="s">
        <v>212</v>
      </c>
      <c r="G35" s="34" t="s">
        <v>138</v>
      </c>
      <c r="H35" s="34" t="s">
        <v>20</v>
      </c>
      <c r="I35" s="35"/>
      <c r="J35" s="34">
        <v>31389386</v>
      </c>
      <c r="K35" s="34" t="s">
        <v>120</v>
      </c>
      <c r="L35" s="34" t="str">
        <f>_xlfn.XLOOKUP(Tabla2__2[[#This Row],[CODIGO RUTA]],'DATA INFORME'!I:I,'DATA INFORME'!K:K)</f>
        <v>SI</v>
      </c>
      <c r="M35" s="34" t="str">
        <f>IF(Tabla2__2[[#This Row],[MYSTERY EFECTIVO]]="SI",_xlfn.XLOOKUP(Tabla2__2[[#This Row],[PREGUNTA]],ENCUESTA!G:G,ENCUESTA!D:D),"N/A")</f>
        <v>ACTIVIDADES DEL MES</v>
      </c>
      <c r="N35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6.666666666666667</v>
      </c>
      <c r="O35" s="34" t="str">
        <f>_xlfn.XLOOKUP(Tabla2__2[[#This Row],[PREGUNTA]],ENCUESTA!G:G,ENCUESTA!H:H)</f>
        <v>SI</v>
      </c>
      <c r="P35" s="34">
        <f>IF(Tabla2__2[[#This Row],[RTA]]=Tabla2__2[[#This Row],[RTA CORRECTA]],Tabla2__2[[#This Row],[TOTAL PUNTAJE]],0)</f>
        <v>6.666666666666667</v>
      </c>
      <c r="Q35" s="34">
        <f t="shared" si="1"/>
        <v>0</v>
      </c>
      <c r="R35" s="34"/>
    </row>
    <row r="36" spans="1:18" x14ac:dyDescent="0.35">
      <c r="A36" s="34" t="s">
        <v>108</v>
      </c>
      <c r="B36" s="34" t="s">
        <v>210</v>
      </c>
      <c r="C36" t="s">
        <v>14</v>
      </c>
      <c r="D36" s="34" t="s">
        <v>14</v>
      </c>
      <c r="E36" s="34">
        <v>425892</v>
      </c>
      <c r="F36" s="34" t="s">
        <v>212</v>
      </c>
      <c r="G36" s="34" t="s">
        <v>101</v>
      </c>
      <c r="H36" s="34" t="s">
        <v>207</v>
      </c>
      <c r="I36" s="35"/>
      <c r="J36" s="34">
        <v>31389386</v>
      </c>
      <c r="K36" s="34" t="s">
        <v>120</v>
      </c>
      <c r="L36" s="34" t="str">
        <f>_xlfn.XLOOKUP(Tabla2__2[[#This Row],[CODIGO RUTA]],'DATA INFORME'!I:I,'DATA INFORME'!K:K)</f>
        <v>SI</v>
      </c>
      <c r="M36" s="34" t="str">
        <f>IF(Tabla2__2[[#This Row],[MYSTERY EFECTIVO]]="SI",_xlfn.XLOOKUP(Tabla2__2[[#This Row],[PREGUNTA]],ENCUESTA!G:G,ENCUESTA!D:D),"N/A")</f>
        <v>N/A</v>
      </c>
      <c r="N36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36" s="34">
        <f>_xlfn.XLOOKUP(Tabla2__2[[#This Row],[PREGUNTA]],ENCUESTA!G:G,ENCUESTA!H:H)</f>
        <v>0</v>
      </c>
      <c r="P36" s="34">
        <f>IF(Tabla2__2[[#This Row],[RTA]]=Tabla2__2[[#This Row],[RTA CORRECTA]],Tabla2__2[[#This Row],[TOTAL PUNTAJE]],0)</f>
        <v>0</v>
      </c>
      <c r="Q36" s="34">
        <f t="shared" si="1"/>
        <v>0</v>
      </c>
      <c r="R36" s="34"/>
    </row>
    <row r="37" spans="1:18" x14ac:dyDescent="0.35">
      <c r="A37" s="34" t="s">
        <v>108</v>
      </c>
      <c r="B37" s="34" t="s">
        <v>210</v>
      </c>
      <c r="C37" t="s">
        <v>14</v>
      </c>
      <c r="D37" s="34" t="s">
        <v>14</v>
      </c>
      <c r="E37" s="34">
        <v>425892</v>
      </c>
      <c r="F37" s="34" t="s">
        <v>212</v>
      </c>
      <c r="G37" s="34" t="s">
        <v>185</v>
      </c>
      <c r="H37" s="34" t="s">
        <v>20</v>
      </c>
      <c r="I37" s="35"/>
      <c r="J37" s="34">
        <v>31389386</v>
      </c>
      <c r="K37" s="34" t="s">
        <v>120</v>
      </c>
      <c r="L37" s="34" t="str">
        <f>_xlfn.XLOOKUP(Tabla2__2[[#This Row],[CODIGO RUTA]],'DATA INFORME'!I:I,'DATA INFORME'!K:K)</f>
        <v>SI</v>
      </c>
      <c r="M37" s="34" t="str">
        <f>IF(Tabla2__2[[#This Row],[MYSTERY EFECTIVO]]="SI",_xlfn.XLOOKUP(Tabla2__2[[#This Row],[PREGUNTA]],ENCUESTA!G:G,ENCUESTA!D:D),"N/A")</f>
        <v>EJECUCIÓN DEL PDV</v>
      </c>
      <c r="N37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37" s="34" t="str">
        <f>_xlfn.XLOOKUP(Tabla2__2[[#This Row],[PREGUNTA]],ENCUESTA!G:G,ENCUESTA!H:H)</f>
        <v>SI</v>
      </c>
      <c r="P37" s="34">
        <f>IF(Tabla2__2[[#This Row],[RTA]]=Tabla2__2[[#This Row],[RTA CORRECTA]],Tabla2__2[[#This Row],[TOTAL PUNTAJE]],0)</f>
        <v>0</v>
      </c>
      <c r="Q37" s="34">
        <f t="shared" si="1"/>
        <v>0</v>
      </c>
      <c r="R37" s="34"/>
    </row>
    <row r="38" spans="1:18" x14ac:dyDescent="0.35">
      <c r="A38" s="34" t="s">
        <v>108</v>
      </c>
      <c r="B38" s="34" t="s">
        <v>210</v>
      </c>
      <c r="C38" t="s">
        <v>14</v>
      </c>
      <c r="D38" s="34" t="s">
        <v>14</v>
      </c>
      <c r="E38" s="34">
        <v>425892</v>
      </c>
      <c r="F38" s="34" t="s">
        <v>212</v>
      </c>
      <c r="G38" s="34" t="s">
        <v>122</v>
      </c>
      <c r="H38" s="34" t="s">
        <v>20</v>
      </c>
      <c r="I38" s="35"/>
      <c r="J38" s="34">
        <v>31389386</v>
      </c>
      <c r="K38" s="34" t="s">
        <v>120</v>
      </c>
      <c r="L38" s="34" t="str">
        <f>_xlfn.XLOOKUP(Tabla2__2[[#This Row],[CODIGO RUTA]],'DATA INFORME'!I:I,'DATA INFORME'!K:K)</f>
        <v>SI</v>
      </c>
      <c r="M38" s="34" t="str">
        <f>IF(Tabla2__2[[#This Row],[MYSTERY EFECTIVO]]="SI",_xlfn.XLOOKUP(Tabla2__2[[#This Row],[PREGUNTA]],ENCUESTA!G:G,ENCUESTA!D:D),"N/A")</f>
        <v>EJECUCIÓN DEL PDV</v>
      </c>
      <c r="N38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38" s="34" t="str">
        <f>_xlfn.XLOOKUP(Tabla2__2[[#This Row],[PREGUNTA]],ENCUESTA!G:G,ENCUESTA!H:H)</f>
        <v>SI</v>
      </c>
      <c r="P38" s="34">
        <f>IF(Tabla2__2[[#This Row],[RTA]]=Tabla2__2[[#This Row],[RTA CORRECTA]],Tabla2__2[[#This Row],[TOTAL PUNTAJE]],0)</f>
        <v>0</v>
      </c>
      <c r="Q38" s="34">
        <f t="shared" si="1"/>
        <v>0</v>
      </c>
      <c r="R38" s="34"/>
    </row>
    <row r="39" spans="1:18" x14ac:dyDescent="0.35">
      <c r="A39" s="34" t="s">
        <v>108</v>
      </c>
      <c r="B39" s="34" t="s">
        <v>210</v>
      </c>
      <c r="C39" t="s">
        <v>14</v>
      </c>
      <c r="D39" s="34" t="s">
        <v>14</v>
      </c>
      <c r="E39" s="34">
        <v>425892</v>
      </c>
      <c r="F39" s="34" t="s">
        <v>212</v>
      </c>
      <c r="G39" s="34" t="s">
        <v>182</v>
      </c>
      <c r="H39" s="34" t="s">
        <v>20</v>
      </c>
      <c r="I39" s="35"/>
      <c r="J39" s="34">
        <v>31389386</v>
      </c>
      <c r="K39" s="34" t="s">
        <v>120</v>
      </c>
      <c r="L39" s="34" t="str">
        <f>_xlfn.XLOOKUP(Tabla2__2[[#This Row],[CODIGO RUTA]],'DATA INFORME'!I:I,'DATA INFORME'!K:K)</f>
        <v>SI</v>
      </c>
      <c r="M39" s="34" t="str">
        <f>IF(Tabla2__2[[#This Row],[MYSTERY EFECTIVO]]="SI",_xlfn.XLOOKUP(Tabla2__2[[#This Row],[PREGUNTA]],ENCUESTA!G:G,ENCUESTA!D:D),"N/A")</f>
        <v>EJECUCIÓN DEL PDV</v>
      </c>
      <c r="N39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5.333333333333333</v>
      </c>
      <c r="O39" s="34" t="str">
        <f>_xlfn.XLOOKUP(Tabla2__2[[#This Row],[PREGUNTA]],ENCUESTA!G:G,ENCUESTA!H:H)</f>
        <v>SI</v>
      </c>
      <c r="P39" s="34">
        <f>IF(Tabla2__2[[#This Row],[RTA]]=Tabla2__2[[#This Row],[RTA CORRECTA]],Tabla2__2[[#This Row],[TOTAL PUNTAJE]],0)</f>
        <v>5.333333333333333</v>
      </c>
      <c r="Q39" s="34">
        <f t="shared" si="1"/>
        <v>0</v>
      </c>
      <c r="R39" s="34"/>
    </row>
    <row r="40" spans="1:18" x14ac:dyDescent="0.35">
      <c r="A40" s="34" t="s">
        <v>108</v>
      </c>
      <c r="B40" s="34" t="s">
        <v>210</v>
      </c>
      <c r="C40" t="s">
        <v>14</v>
      </c>
      <c r="D40" s="34" t="s">
        <v>14</v>
      </c>
      <c r="E40" s="34">
        <v>425892</v>
      </c>
      <c r="F40" s="34" t="s">
        <v>212</v>
      </c>
      <c r="G40" s="34" t="s">
        <v>180</v>
      </c>
      <c r="H40" s="34" t="s">
        <v>20</v>
      </c>
      <c r="I40" s="35"/>
      <c r="J40" s="34">
        <v>31389386</v>
      </c>
      <c r="K40" s="34" t="s">
        <v>120</v>
      </c>
      <c r="L40" s="34" t="str">
        <f>_xlfn.XLOOKUP(Tabla2__2[[#This Row],[CODIGO RUTA]],'DATA INFORME'!I:I,'DATA INFORME'!K:K)</f>
        <v>SI</v>
      </c>
      <c r="M40" s="34" t="str">
        <f>IF(Tabla2__2[[#This Row],[MYSTERY EFECTIVO]]="SI",_xlfn.XLOOKUP(Tabla2__2[[#This Row],[PREGUNTA]],ENCUESTA!G:G,ENCUESTA!D:D),"N/A")</f>
        <v>EJECUCIÓN DEL PDV</v>
      </c>
      <c r="N40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5.333333333333333</v>
      </c>
      <c r="O40" s="34" t="str">
        <f>_xlfn.XLOOKUP(Tabla2__2[[#This Row],[PREGUNTA]],ENCUESTA!G:G,ENCUESTA!H:H)</f>
        <v>SI</v>
      </c>
      <c r="P40" s="34">
        <f>IF(Tabla2__2[[#This Row],[RTA]]=Tabla2__2[[#This Row],[RTA CORRECTA]],Tabla2__2[[#This Row],[TOTAL PUNTAJE]],0)</f>
        <v>5.333333333333333</v>
      </c>
      <c r="Q40" s="34">
        <f t="shared" si="1"/>
        <v>0</v>
      </c>
      <c r="R40" s="34"/>
    </row>
    <row r="41" spans="1:18" x14ac:dyDescent="0.35">
      <c r="A41" s="34" t="s">
        <v>108</v>
      </c>
      <c r="B41" s="34" t="s">
        <v>210</v>
      </c>
      <c r="C41" t="s">
        <v>14</v>
      </c>
      <c r="D41" s="34" t="s">
        <v>14</v>
      </c>
      <c r="E41" s="34">
        <v>425892</v>
      </c>
      <c r="F41" s="34" t="s">
        <v>212</v>
      </c>
      <c r="G41" s="34" t="s">
        <v>178</v>
      </c>
      <c r="H41" s="34" t="s">
        <v>20</v>
      </c>
      <c r="I41" s="35"/>
      <c r="J41" s="34">
        <v>31389386</v>
      </c>
      <c r="K41" s="34" t="s">
        <v>120</v>
      </c>
      <c r="L41" s="34" t="str">
        <f>_xlfn.XLOOKUP(Tabla2__2[[#This Row],[CODIGO RUTA]],'DATA INFORME'!I:I,'DATA INFORME'!K:K)</f>
        <v>SI</v>
      </c>
      <c r="M41" s="34" t="str">
        <f>IF(Tabla2__2[[#This Row],[MYSTERY EFECTIVO]]="SI",_xlfn.XLOOKUP(Tabla2__2[[#This Row],[PREGUNTA]],ENCUESTA!G:G,ENCUESTA!D:D),"N/A")</f>
        <v>EJECUCIÓN DEL PDV</v>
      </c>
      <c r="N41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5.333333333333333</v>
      </c>
      <c r="O41" s="34" t="str">
        <f>_xlfn.XLOOKUP(Tabla2__2[[#This Row],[PREGUNTA]],ENCUESTA!G:G,ENCUESTA!H:H)</f>
        <v>SI</v>
      </c>
      <c r="P41" s="34">
        <f>IF(Tabla2__2[[#This Row],[RTA]]=Tabla2__2[[#This Row],[RTA CORRECTA]],Tabla2__2[[#This Row],[TOTAL PUNTAJE]],0)</f>
        <v>5.333333333333333</v>
      </c>
      <c r="Q41" s="34">
        <f t="shared" si="1"/>
        <v>0</v>
      </c>
      <c r="R41" s="34"/>
    </row>
    <row r="42" spans="1:18" x14ac:dyDescent="0.35">
      <c r="A42" s="34" t="s">
        <v>108</v>
      </c>
      <c r="B42" s="34" t="s">
        <v>210</v>
      </c>
      <c r="C42" t="s">
        <v>14</v>
      </c>
      <c r="D42" s="34" t="s">
        <v>14</v>
      </c>
      <c r="E42" s="34">
        <v>425892</v>
      </c>
      <c r="F42" s="34" t="s">
        <v>212</v>
      </c>
      <c r="G42" s="34" t="s">
        <v>121</v>
      </c>
      <c r="H42" s="34" t="s">
        <v>20</v>
      </c>
      <c r="I42" s="35"/>
      <c r="J42" s="34">
        <v>31389386</v>
      </c>
      <c r="K42" s="34" t="s">
        <v>120</v>
      </c>
      <c r="L42" s="34" t="str">
        <f>_xlfn.XLOOKUP(Tabla2__2[[#This Row],[CODIGO RUTA]],'DATA INFORME'!I:I,'DATA INFORME'!K:K)</f>
        <v>SI</v>
      </c>
      <c r="M42" s="34" t="str">
        <f>IF(Tabla2__2[[#This Row],[MYSTERY EFECTIVO]]="SI",_xlfn.XLOOKUP(Tabla2__2[[#This Row],[PREGUNTA]],ENCUESTA!G:G,ENCUESTA!D:D),"N/A")</f>
        <v>EJECUCIÓN DEL PDV</v>
      </c>
      <c r="N42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42" s="34" t="str">
        <f>_xlfn.XLOOKUP(Tabla2__2[[#This Row],[PREGUNTA]],ENCUESTA!G:G,ENCUESTA!H:H)</f>
        <v>SI</v>
      </c>
      <c r="P42" s="34">
        <f>IF(Tabla2__2[[#This Row],[RTA]]=Tabla2__2[[#This Row],[RTA CORRECTA]],Tabla2__2[[#This Row],[TOTAL PUNTAJE]],0)</f>
        <v>0</v>
      </c>
      <c r="Q42" s="34">
        <f t="shared" si="1"/>
        <v>0</v>
      </c>
      <c r="R42" s="34"/>
    </row>
    <row r="43" spans="1:18" x14ac:dyDescent="0.35">
      <c r="A43" s="34" t="s">
        <v>108</v>
      </c>
      <c r="B43" s="34" t="s">
        <v>210</v>
      </c>
      <c r="C43" t="s">
        <v>14</v>
      </c>
      <c r="D43" s="34" t="s">
        <v>14</v>
      </c>
      <c r="E43" s="34">
        <v>425892</v>
      </c>
      <c r="F43" s="34" t="s">
        <v>212</v>
      </c>
      <c r="G43" s="34" t="s">
        <v>100</v>
      </c>
      <c r="H43" s="34" t="s">
        <v>20</v>
      </c>
      <c r="I43" s="35"/>
      <c r="J43" s="34">
        <v>31389386</v>
      </c>
      <c r="K43" s="34" t="s">
        <v>120</v>
      </c>
      <c r="L43" s="34" t="str">
        <f>_xlfn.XLOOKUP(Tabla2__2[[#This Row],[CODIGO RUTA]],'DATA INFORME'!I:I,'DATA INFORME'!K:K)</f>
        <v>SI</v>
      </c>
      <c r="M43" s="34" t="str">
        <f>IF(Tabla2__2[[#This Row],[MYSTERY EFECTIVO]]="SI",_xlfn.XLOOKUP(Tabla2__2[[#This Row],[PREGUNTA]],ENCUESTA!G:G,ENCUESTA!D:D),"N/A")</f>
        <v>EJECUCIÓN DEL PDV</v>
      </c>
      <c r="N43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2.7272727272727271</v>
      </c>
      <c r="O43" s="34" t="str">
        <f>_xlfn.XLOOKUP(Tabla2__2[[#This Row],[PREGUNTA]],ENCUESTA!G:G,ENCUESTA!H:H)</f>
        <v>SI</v>
      </c>
      <c r="P43" s="34">
        <f>IF(Tabla2__2[[#This Row],[RTA]]=Tabla2__2[[#This Row],[RTA CORRECTA]],Tabla2__2[[#This Row],[TOTAL PUNTAJE]],0)</f>
        <v>2.7272727272727271</v>
      </c>
      <c r="Q43" s="34">
        <f t="shared" si="1"/>
        <v>0</v>
      </c>
      <c r="R43" s="34"/>
    </row>
    <row r="44" spans="1:18" x14ac:dyDescent="0.35">
      <c r="A44" s="34" t="s">
        <v>108</v>
      </c>
      <c r="B44" s="34" t="s">
        <v>210</v>
      </c>
      <c r="C44" t="s">
        <v>14</v>
      </c>
      <c r="D44" s="34" t="s">
        <v>14</v>
      </c>
      <c r="E44" s="34">
        <v>425892</v>
      </c>
      <c r="F44" s="34" t="s">
        <v>212</v>
      </c>
      <c r="G44" s="34" t="s">
        <v>99</v>
      </c>
      <c r="H44" s="34" t="s">
        <v>20</v>
      </c>
      <c r="I44" s="35"/>
      <c r="J44" s="34">
        <v>31389386</v>
      </c>
      <c r="K44" s="34" t="s">
        <v>120</v>
      </c>
      <c r="L44" s="34" t="str">
        <f>_xlfn.XLOOKUP(Tabla2__2[[#This Row],[CODIGO RUTA]],'DATA INFORME'!I:I,'DATA INFORME'!K:K)</f>
        <v>SI</v>
      </c>
      <c r="M44" s="34" t="str">
        <f>IF(Tabla2__2[[#This Row],[MYSTERY EFECTIVO]]="SI",_xlfn.XLOOKUP(Tabla2__2[[#This Row],[PREGUNTA]],ENCUESTA!G:G,ENCUESTA!D:D),"N/A")</f>
        <v>EJECUCIÓN DEL PDV</v>
      </c>
      <c r="N44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2.7272727272727271</v>
      </c>
      <c r="O44" s="34" t="str">
        <f>_xlfn.XLOOKUP(Tabla2__2[[#This Row],[PREGUNTA]],ENCUESTA!G:G,ENCUESTA!H:H)</f>
        <v>SI</v>
      </c>
      <c r="P44" s="34">
        <f>IF(Tabla2__2[[#This Row],[RTA]]=Tabla2__2[[#This Row],[RTA CORRECTA]],Tabla2__2[[#This Row],[TOTAL PUNTAJE]],0)</f>
        <v>2.7272727272727271</v>
      </c>
      <c r="Q44" s="34">
        <f t="shared" si="1"/>
        <v>0</v>
      </c>
      <c r="R44" s="34"/>
    </row>
    <row r="45" spans="1:18" x14ac:dyDescent="0.35">
      <c r="A45" s="34" t="s">
        <v>108</v>
      </c>
      <c r="B45" s="34" t="s">
        <v>210</v>
      </c>
      <c r="C45" t="s">
        <v>14</v>
      </c>
      <c r="D45" s="34" t="s">
        <v>14</v>
      </c>
      <c r="E45" s="34">
        <v>425892</v>
      </c>
      <c r="F45" s="34" t="s">
        <v>212</v>
      </c>
      <c r="G45" s="34" t="s">
        <v>98</v>
      </c>
      <c r="H45" s="34" t="s">
        <v>20</v>
      </c>
      <c r="I45" s="35"/>
      <c r="J45" s="34">
        <v>31389386</v>
      </c>
      <c r="K45" s="34" t="s">
        <v>120</v>
      </c>
      <c r="L45" s="34" t="str">
        <f>_xlfn.XLOOKUP(Tabla2__2[[#This Row],[CODIGO RUTA]],'DATA INFORME'!I:I,'DATA INFORME'!K:K)</f>
        <v>SI</v>
      </c>
      <c r="M45" s="34" t="str">
        <f>IF(Tabla2__2[[#This Row],[MYSTERY EFECTIVO]]="SI",_xlfn.XLOOKUP(Tabla2__2[[#This Row],[PREGUNTA]],ENCUESTA!G:G,ENCUESTA!D:D),"N/A")</f>
        <v>EJECUCIÓN DEL PDV</v>
      </c>
      <c r="N45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2.7272727272727271</v>
      </c>
      <c r="O45" s="34" t="str">
        <f>_xlfn.XLOOKUP(Tabla2__2[[#This Row],[PREGUNTA]],ENCUESTA!G:G,ENCUESTA!H:H)</f>
        <v>SI</v>
      </c>
      <c r="P45" s="34">
        <f>IF(Tabla2__2[[#This Row],[RTA]]=Tabla2__2[[#This Row],[RTA CORRECTA]],Tabla2__2[[#This Row],[TOTAL PUNTAJE]],0)</f>
        <v>2.7272727272727271</v>
      </c>
      <c r="Q45" s="34">
        <f t="shared" si="1"/>
        <v>0</v>
      </c>
      <c r="R45" s="34"/>
    </row>
    <row r="46" spans="1:18" x14ac:dyDescent="0.35">
      <c r="A46" s="34" t="s">
        <v>108</v>
      </c>
      <c r="B46" s="34" t="s">
        <v>210</v>
      </c>
      <c r="C46" t="s">
        <v>14</v>
      </c>
      <c r="D46" s="34" t="s">
        <v>14</v>
      </c>
      <c r="E46" s="34">
        <v>425892</v>
      </c>
      <c r="F46" s="34" t="s">
        <v>212</v>
      </c>
      <c r="G46" s="34" t="s">
        <v>126</v>
      </c>
      <c r="H46" s="34" t="s">
        <v>20</v>
      </c>
      <c r="I46" s="35"/>
      <c r="J46" s="34">
        <v>31389386</v>
      </c>
      <c r="K46" s="34" t="s">
        <v>120</v>
      </c>
      <c r="L46" s="34" t="str">
        <f>_xlfn.XLOOKUP(Tabla2__2[[#This Row],[CODIGO RUTA]],'DATA INFORME'!I:I,'DATA INFORME'!K:K)</f>
        <v>SI</v>
      </c>
      <c r="M46" s="34" t="str">
        <f>IF(Tabla2__2[[#This Row],[MYSTERY EFECTIVO]]="SI",_xlfn.XLOOKUP(Tabla2__2[[#This Row],[PREGUNTA]],ENCUESTA!G:G,ENCUESTA!D:D),"N/A")</f>
        <v>EJECUCIÓN DEL PDV</v>
      </c>
      <c r="N46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2.7272727272727271</v>
      </c>
      <c r="O46" s="34" t="str">
        <f>_xlfn.XLOOKUP(Tabla2__2[[#This Row],[PREGUNTA]],ENCUESTA!G:G,ENCUESTA!H:H)</f>
        <v>SI</v>
      </c>
      <c r="P46" s="34">
        <f>IF(Tabla2__2[[#This Row],[RTA]]=Tabla2__2[[#This Row],[RTA CORRECTA]],Tabla2__2[[#This Row],[TOTAL PUNTAJE]],0)</f>
        <v>2.7272727272727271</v>
      </c>
      <c r="Q46" s="34">
        <f t="shared" si="1"/>
        <v>0</v>
      </c>
      <c r="R46" s="34"/>
    </row>
    <row r="47" spans="1:18" x14ac:dyDescent="0.35">
      <c r="A47" s="34" t="s">
        <v>108</v>
      </c>
      <c r="B47" s="34" t="s">
        <v>210</v>
      </c>
      <c r="C47" t="s">
        <v>14</v>
      </c>
      <c r="D47" s="34" t="s">
        <v>14</v>
      </c>
      <c r="E47" s="34">
        <v>425892</v>
      </c>
      <c r="F47" s="34" t="s">
        <v>212</v>
      </c>
      <c r="G47" s="34" t="s">
        <v>125</v>
      </c>
      <c r="H47" s="34" t="s">
        <v>20</v>
      </c>
      <c r="I47" s="35"/>
      <c r="J47" s="34">
        <v>31389386</v>
      </c>
      <c r="K47" s="34" t="s">
        <v>120</v>
      </c>
      <c r="L47" s="34" t="str">
        <f>_xlfn.XLOOKUP(Tabla2__2[[#This Row],[CODIGO RUTA]],'DATA INFORME'!I:I,'DATA INFORME'!K:K)</f>
        <v>SI</v>
      </c>
      <c r="M47" s="34" t="str">
        <f>IF(Tabla2__2[[#This Row],[MYSTERY EFECTIVO]]="SI",_xlfn.XLOOKUP(Tabla2__2[[#This Row],[PREGUNTA]],ENCUESTA!G:G,ENCUESTA!D:D),"N/A")</f>
        <v>EJECUCIÓN DEL PDV</v>
      </c>
      <c r="N47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2.7272727272727271</v>
      </c>
      <c r="O47" s="34" t="str">
        <f>_xlfn.XLOOKUP(Tabla2__2[[#This Row],[PREGUNTA]],ENCUESTA!G:G,ENCUESTA!H:H)</f>
        <v>SI</v>
      </c>
      <c r="P47" s="34">
        <f>IF(Tabla2__2[[#This Row],[RTA]]=Tabla2__2[[#This Row],[RTA CORRECTA]],Tabla2__2[[#This Row],[TOTAL PUNTAJE]],0)</f>
        <v>2.7272727272727271</v>
      </c>
      <c r="Q47" s="34">
        <f t="shared" si="1"/>
        <v>0</v>
      </c>
      <c r="R47" s="34"/>
    </row>
    <row r="48" spans="1:18" x14ac:dyDescent="0.35">
      <c r="A48" s="34" t="s">
        <v>108</v>
      </c>
      <c r="B48" s="34" t="s">
        <v>8</v>
      </c>
      <c r="C48" t="s">
        <v>14</v>
      </c>
      <c r="D48" s="34" t="s">
        <v>14</v>
      </c>
      <c r="E48" s="34">
        <v>555967</v>
      </c>
      <c r="F48" s="34" t="s">
        <v>201</v>
      </c>
      <c r="G48" s="34" t="s">
        <v>180</v>
      </c>
      <c r="H48" s="34" t="s">
        <v>20</v>
      </c>
      <c r="I48" s="35"/>
      <c r="J48" s="34">
        <v>31379123</v>
      </c>
      <c r="K48" s="34" t="s">
        <v>130</v>
      </c>
      <c r="L48" s="34" t="str">
        <f>_xlfn.XLOOKUP(Tabla2__2[[#This Row],[CODIGO RUTA]],'DATA INFORME'!I:I,'DATA INFORME'!K:K)</f>
        <v>SI</v>
      </c>
      <c r="M48" s="34" t="str">
        <f>IF(Tabla2__2[[#This Row],[MYSTERY EFECTIVO]]="SI",_xlfn.XLOOKUP(Tabla2__2[[#This Row],[PREGUNTA]],ENCUESTA!G:G,ENCUESTA!D:D),"N/A")</f>
        <v>EJECUCIÓN DEL PDV</v>
      </c>
      <c r="N48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5.333333333333333</v>
      </c>
      <c r="O48" s="34" t="str">
        <f>_xlfn.XLOOKUP(Tabla2__2[[#This Row],[PREGUNTA]],ENCUESTA!G:G,ENCUESTA!H:H)</f>
        <v>SI</v>
      </c>
      <c r="P48" s="34">
        <f>IF(Tabla2__2[[#This Row],[RTA]]=Tabla2__2[[#This Row],[RTA CORRECTA]],Tabla2__2[[#This Row],[TOTAL PUNTAJE]],0)</f>
        <v>5.333333333333333</v>
      </c>
      <c r="Q48" s="34">
        <f t="shared" si="1"/>
        <v>0</v>
      </c>
      <c r="R48" s="34"/>
    </row>
    <row r="49" spans="1:18" x14ac:dyDescent="0.35">
      <c r="A49" s="34" t="s">
        <v>108</v>
      </c>
      <c r="B49" s="34" t="s">
        <v>8</v>
      </c>
      <c r="C49" t="s">
        <v>14</v>
      </c>
      <c r="D49" s="34" t="s">
        <v>14</v>
      </c>
      <c r="E49" s="34">
        <v>555967</v>
      </c>
      <c r="F49" s="34" t="s">
        <v>201</v>
      </c>
      <c r="G49" s="34" t="s">
        <v>178</v>
      </c>
      <c r="H49" s="34" t="s">
        <v>20</v>
      </c>
      <c r="I49" s="35"/>
      <c r="J49" s="34">
        <v>31379123</v>
      </c>
      <c r="K49" s="34" t="s">
        <v>130</v>
      </c>
      <c r="L49" s="34" t="str">
        <f>_xlfn.XLOOKUP(Tabla2__2[[#This Row],[CODIGO RUTA]],'DATA INFORME'!I:I,'DATA INFORME'!K:K)</f>
        <v>SI</v>
      </c>
      <c r="M49" s="34" t="str">
        <f>IF(Tabla2__2[[#This Row],[MYSTERY EFECTIVO]]="SI",_xlfn.XLOOKUP(Tabla2__2[[#This Row],[PREGUNTA]],ENCUESTA!G:G,ENCUESTA!D:D),"N/A")</f>
        <v>EJECUCIÓN DEL PDV</v>
      </c>
      <c r="N49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5.333333333333333</v>
      </c>
      <c r="O49" s="34" t="str">
        <f>_xlfn.XLOOKUP(Tabla2__2[[#This Row],[PREGUNTA]],ENCUESTA!G:G,ENCUESTA!H:H)</f>
        <v>SI</v>
      </c>
      <c r="P49" s="34">
        <f>IF(Tabla2__2[[#This Row],[RTA]]=Tabla2__2[[#This Row],[RTA CORRECTA]],Tabla2__2[[#This Row],[TOTAL PUNTAJE]],0)</f>
        <v>5.333333333333333</v>
      </c>
      <c r="Q49" s="34">
        <f t="shared" si="1"/>
        <v>0</v>
      </c>
      <c r="R49" s="34"/>
    </row>
    <row r="50" spans="1:18" x14ac:dyDescent="0.35">
      <c r="A50" s="34" t="s">
        <v>108</v>
      </c>
      <c r="B50" s="34" t="s">
        <v>8</v>
      </c>
      <c r="C50" t="s">
        <v>14</v>
      </c>
      <c r="D50" s="34" t="s">
        <v>14</v>
      </c>
      <c r="E50" s="34">
        <v>555967</v>
      </c>
      <c r="F50" s="34" t="s">
        <v>201</v>
      </c>
      <c r="G50" s="34" t="s">
        <v>121</v>
      </c>
      <c r="H50" s="34" t="s">
        <v>20</v>
      </c>
      <c r="I50" s="35"/>
      <c r="J50" s="34">
        <v>31379123</v>
      </c>
      <c r="K50" s="34" t="s">
        <v>130</v>
      </c>
      <c r="L50" s="34" t="str">
        <f>_xlfn.XLOOKUP(Tabla2__2[[#This Row],[CODIGO RUTA]],'DATA INFORME'!I:I,'DATA INFORME'!K:K)</f>
        <v>SI</v>
      </c>
      <c r="M50" s="34" t="str">
        <f>IF(Tabla2__2[[#This Row],[MYSTERY EFECTIVO]]="SI",_xlfn.XLOOKUP(Tabla2__2[[#This Row],[PREGUNTA]],ENCUESTA!G:G,ENCUESTA!D:D),"N/A")</f>
        <v>EJECUCIÓN DEL PDV</v>
      </c>
      <c r="N50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50" s="34" t="str">
        <f>_xlfn.XLOOKUP(Tabla2__2[[#This Row],[PREGUNTA]],ENCUESTA!G:G,ENCUESTA!H:H)</f>
        <v>SI</v>
      </c>
      <c r="P50" s="34">
        <f>IF(Tabla2__2[[#This Row],[RTA]]=Tabla2__2[[#This Row],[RTA CORRECTA]],Tabla2__2[[#This Row],[TOTAL PUNTAJE]],0)</f>
        <v>0</v>
      </c>
      <c r="Q50" s="34">
        <f t="shared" si="1"/>
        <v>0</v>
      </c>
      <c r="R50" s="34"/>
    </row>
    <row r="51" spans="1:18" x14ac:dyDescent="0.35">
      <c r="A51" s="34" t="s">
        <v>108</v>
      </c>
      <c r="B51" s="34" t="s">
        <v>8</v>
      </c>
      <c r="C51" t="s">
        <v>14</v>
      </c>
      <c r="D51" s="34" t="s">
        <v>14</v>
      </c>
      <c r="E51" s="34">
        <v>555967</v>
      </c>
      <c r="F51" s="34" t="s">
        <v>201</v>
      </c>
      <c r="G51" s="34" t="s">
        <v>100</v>
      </c>
      <c r="H51" s="34" t="s">
        <v>20</v>
      </c>
      <c r="I51" s="35"/>
      <c r="J51" s="34">
        <v>31379123</v>
      </c>
      <c r="K51" s="34" t="s">
        <v>130</v>
      </c>
      <c r="L51" s="34" t="str">
        <f>_xlfn.XLOOKUP(Tabla2__2[[#This Row],[CODIGO RUTA]],'DATA INFORME'!I:I,'DATA INFORME'!K:K)</f>
        <v>SI</v>
      </c>
      <c r="M51" s="34" t="str">
        <f>IF(Tabla2__2[[#This Row],[MYSTERY EFECTIVO]]="SI",_xlfn.XLOOKUP(Tabla2__2[[#This Row],[PREGUNTA]],ENCUESTA!G:G,ENCUESTA!D:D),"N/A")</f>
        <v>EJECUCIÓN DEL PDV</v>
      </c>
      <c r="N51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2.7272727272727271</v>
      </c>
      <c r="O51" s="34" t="str">
        <f>_xlfn.XLOOKUP(Tabla2__2[[#This Row],[PREGUNTA]],ENCUESTA!G:G,ENCUESTA!H:H)</f>
        <v>SI</v>
      </c>
      <c r="P51" s="34">
        <f>IF(Tabla2__2[[#This Row],[RTA]]=Tabla2__2[[#This Row],[RTA CORRECTA]],Tabla2__2[[#This Row],[TOTAL PUNTAJE]],0)</f>
        <v>2.7272727272727271</v>
      </c>
      <c r="Q51" s="34">
        <f t="shared" si="1"/>
        <v>0</v>
      </c>
      <c r="R51" s="34"/>
    </row>
    <row r="52" spans="1:18" x14ac:dyDescent="0.35">
      <c r="A52" s="34" t="s">
        <v>108</v>
      </c>
      <c r="B52" s="34" t="s">
        <v>111</v>
      </c>
      <c r="C52" t="s">
        <v>43</v>
      </c>
      <c r="D52" s="34" t="s">
        <v>43</v>
      </c>
      <c r="E52" s="34">
        <v>127058</v>
      </c>
      <c r="F52" s="34" t="s">
        <v>154</v>
      </c>
      <c r="G52" s="34" t="s">
        <v>122</v>
      </c>
      <c r="H52" s="34" t="s">
        <v>20</v>
      </c>
      <c r="I52" s="35"/>
      <c r="J52" s="34">
        <v>31364497</v>
      </c>
      <c r="K52" s="34" t="s">
        <v>133</v>
      </c>
      <c r="L52" s="34" t="str">
        <f>_xlfn.XLOOKUP(Tabla2__2[[#This Row],[CODIGO RUTA]],'DATA INFORME'!I:I,'DATA INFORME'!K:K)</f>
        <v>SI</v>
      </c>
      <c r="M52" s="34" t="str">
        <f>IF(Tabla2__2[[#This Row],[MYSTERY EFECTIVO]]="SI",_xlfn.XLOOKUP(Tabla2__2[[#This Row],[PREGUNTA]],ENCUESTA!G:G,ENCUESTA!D:D),"N/A")</f>
        <v>EJECUCIÓN DEL PDV</v>
      </c>
      <c r="N52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8</v>
      </c>
      <c r="O52" s="34" t="str">
        <f>_xlfn.XLOOKUP(Tabla2__2[[#This Row],[PREGUNTA]],ENCUESTA!G:G,ENCUESTA!H:H)</f>
        <v>SI</v>
      </c>
      <c r="P52" s="34">
        <f>IF(Tabla2__2[[#This Row],[RTA]]=Tabla2__2[[#This Row],[RTA CORRECTA]],Tabla2__2[[#This Row],[TOTAL PUNTAJE]],0)</f>
        <v>8</v>
      </c>
      <c r="Q52" s="34">
        <f t="shared" si="1"/>
        <v>0</v>
      </c>
      <c r="R52" s="34"/>
    </row>
    <row r="53" spans="1:18" x14ac:dyDescent="0.35">
      <c r="A53" s="34" t="s">
        <v>108</v>
      </c>
      <c r="B53" s="34" t="s">
        <v>111</v>
      </c>
      <c r="C53" t="s">
        <v>43</v>
      </c>
      <c r="D53" s="34" t="s">
        <v>43</v>
      </c>
      <c r="E53" s="34">
        <v>127058</v>
      </c>
      <c r="F53" s="34" t="s">
        <v>154</v>
      </c>
      <c r="G53" s="34" t="s">
        <v>182</v>
      </c>
      <c r="H53" s="34" t="s">
        <v>20</v>
      </c>
      <c r="I53" s="35"/>
      <c r="J53" s="34">
        <v>31364497</v>
      </c>
      <c r="K53" s="34" t="s">
        <v>133</v>
      </c>
      <c r="L53" s="34" t="str">
        <f>_xlfn.XLOOKUP(Tabla2__2[[#This Row],[CODIGO RUTA]],'DATA INFORME'!I:I,'DATA INFORME'!K:K)</f>
        <v>SI</v>
      </c>
      <c r="M53" s="34" t="str">
        <f>IF(Tabla2__2[[#This Row],[MYSTERY EFECTIVO]]="SI",_xlfn.XLOOKUP(Tabla2__2[[#This Row],[PREGUNTA]],ENCUESTA!G:G,ENCUESTA!D:D),"N/A")</f>
        <v>EJECUCIÓN DEL PDV</v>
      </c>
      <c r="N53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53" s="34" t="str">
        <f>_xlfn.XLOOKUP(Tabla2__2[[#This Row],[PREGUNTA]],ENCUESTA!G:G,ENCUESTA!H:H)</f>
        <v>SI</v>
      </c>
      <c r="P53" s="34">
        <f>IF(Tabla2__2[[#This Row],[RTA]]=Tabla2__2[[#This Row],[RTA CORRECTA]],Tabla2__2[[#This Row],[TOTAL PUNTAJE]],0)</f>
        <v>0</v>
      </c>
      <c r="Q53" s="34">
        <f t="shared" si="1"/>
        <v>0</v>
      </c>
      <c r="R53" s="34"/>
    </row>
    <row r="54" spans="1:18" x14ac:dyDescent="0.35">
      <c r="A54" s="34" t="s">
        <v>108</v>
      </c>
      <c r="B54" s="34" t="s">
        <v>111</v>
      </c>
      <c r="C54" t="s">
        <v>43</v>
      </c>
      <c r="D54" s="34" t="s">
        <v>43</v>
      </c>
      <c r="E54" s="34">
        <v>127058</v>
      </c>
      <c r="F54" s="34" t="s">
        <v>154</v>
      </c>
      <c r="G54" s="34" t="s">
        <v>180</v>
      </c>
      <c r="H54" s="34" t="s">
        <v>20</v>
      </c>
      <c r="I54" s="35"/>
      <c r="J54" s="34">
        <v>31364497</v>
      </c>
      <c r="K54" s="34" t="s">
        <v>133</v>
      </c>
      <c r="L54" s="34" t="str">
        <f>_xlfn.XLOOKUP(Tabla2__2[[#This Row],[CODIGO RUTA]],'DATA INFORME'!I:I,'DATA INFORME'!K:K)</f>
        <v>SI</v>
      </c>
      <c r="M54" s="34" t="str">
        <f>IF(Tabla2__2[[#This Row],[MYSTERY EFECTIVO]]="SI",_xlfn.XLOOKUP(Tabla2__2[[#This Row],[PREGUNTA]],ENCUESTA!G:G,ENCUESTA!D:D),"N/A")</f>
        <v>EJECUCIÓN DEL PDV</v>
      </c>
      <c r="N54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54" s="34" t="str">
        <f>_xlfn.XLOOKUP(Tabla2__2[[#This Row],[PREGUNTA]],ENCUESTA!G:G,ENCUESTA!H:H)</f>
        <v>SI</v>
      </c>
      <c r="P54" s="34">
        <f>IF(Tabla2__2[[#This Row],[RTA]]=Tabla2__2[[#This Row],[RTA CORRECTA]],Tabla2__2[[#This Row],[TOTAL PUNTAJE]],0)</f>
        <v>0</v>
      </c>
      <c r="Q54" s="34">
        <f t="shared" si="1"/>
        <v>0</v>
      </c>
      <c r="R54" s="34"/>
    </row>
    <row r="55" spans="1:18" x14ac:dyDescent="0.35">
      <c r="A55" s="34" t="s">
        <v>108</v>
      </c>
      <c r="B55" s="34" t="s">
        <v>111</v>
      </c>
      <c r="C55" t="s">
        <v>43</v>
      </c>
      <c r="D55" s="34" t="s">
        <v>43</v>
      </c>
      <c r="E55" s="34">
        <v>127058</v>
      </c>
      <c r="F55" s="34" t="s">
        <v>154</v>
      </c>
      <c r="G55" s="34" t="s">
        <v>178</v>
      </c>
      <c r="H55" s="34" t="s">
        <v>20</v>
      </c>
      <c r="I55" s="35"/>
      <c r="J55" s="34">
        <v>31364497</v>
      </c>
      <c r="K55" s="34" t="s">
        <v>133</v>
      </c>
      <c r="L55" s="34" t="str">
        <f>_xlfn.XLOOKUP(Tabla2__2[[#This Row],[CODIGO RUTA]],'DATA INFORME'!I:I,'DATA INFORME'!K:K)</f>
        <v>SI</v>
      </c>
      <c r="M55" s="34" t="str">
        <f>IF(Tabla2__2[[#This Row],[MYSTERY EFECTIVO]]="SI",_xlfn.XLOOKUP(Tabla2__2[[#This Row],[PREGUNTA]],ENCUESTA!G:G,ENCUESTA!D:D),"N/A")</f>
        <v>EJECUCIÓN DEL PDV</v>
      </c>
      <c r="N55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55" s="34" t="str">
        <f>_xlfn.XLOOKUP(Tabla2__2[[#This Row],[PREGUNTA]],ENCUESTA!G:G,ENCUESTA!H:H)</f>
        <v>SI</v>
      </c>
      <c r="P55" s="34">
        <f>IF(Tabla2__2[[#This Row],[RTA]]=Tabla2__2[[#This Row],[RTA CORRECTA]],Tabla2__2[[#This Row],[TOTAL PUNTAJE]],0)</f>
        <v>0</v>
      </c>
      <c r="Q55" s="34">
        <f t="shared" si="1"/>
        <v>0</v>
      </c>
      <c r="R55" s="34"/>
    </row>
    <row r="56" spans="1:18" x14ac:dyDescent="0.35">
      <c r="A56" s="34" t="s">
        <v>108</v>
      </c>
      <c r="B56" s="34" t="s">
        <v>111</v>
      </c>
      <c r="C56" t="s">
        <v>43</v>
      </c>
      <c r="D56" s="34" t="s">
        <v>43</v>
      </c>
      <c r="E56" s="34">
        <v>127058</v>
      </c>
      <c r="F56" s="34" t="s">
        <v>154</v>
      </c>
      <c r="G56" s="34" t="s">
        <v>121</v>
      </c>
      <c r="H56" s="34" t="s">
        <v>20</v>
      </c>
      <c r="I56" s="35"/>
      <c r="J56" s="34">
        <v>31364497</v>
      </c>
      <c r="K56" s="34" t="s">
        <v>133</v>
      </c>
      <c r="L56" s="34" t="str">
        <f>_xlfn.XLOOKUP(Tabla2__2[[#This Row],[CODIGO RUTA]],'DATA INFORME'!I:I,'DATA INFORME'!K:K)</f>
        <v>SI</v>
      </c>
      <c r="M56" s="34" t="str">
        <f>IF(Tabla2__2[[#This Row],[MYSTERY EFECTIVO]]="SI",_xlfn.XLOOKUP(Tabla2__2[[#This Row],[PREGUNTA]],ENCUESTA!G:G,ENCUESTA!D:D),"N/A")</f>
        <v>EJECUCIÓN DEL PDV</v>
      </c>
      <c r="N56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56" s="34" t="str">
        <f>_xlfn.XLOOKUP(Tabla2__2[[#This Row],[PREGUNTA]],ENCUESTA!G:G,ENCUESTA!H:H)</f>
        <v>SI</v>
      </c>
      <c r="P56" s="34">
        <f>IF(Tabla2__2[[#This Row],[RTA]]=Tabla2__2[[#This Row],[RTA CORRECTA]],Tabla2__2[[#This Row],[TOTAL PUNTAJE]],0)</f>
        <v>0</v>
      </c>
      <c r="Q56" s="34">
        <f t="shared" si="1"/>
        <v>0</v>
      </c>
      <c r="R56" s="34"/>
    </row>
    <row r="57" spans="1:18" x14ac:dyDescent="0.35">
      <c r="A57" s="34" t="s">
        <v>108</v>
      </c>
      <c r="B57" s="34" t="s">
        <v>111</v>
      </c>
      <c r="C57" t="s">
        <v>43</v>
      </c>
      <c r="D57" s="34" t="s">
        <v>43</v>
      </c>
      <c r="E57" s="34">
        <v>127058</v>
      </c>
      <c r="F57" s="34" t="s">
        <v>154</v>
      </c>
      <c r="G57" s="34" t="s">
        <v>100</v>
      </c>
      <c r="H57" s="34" t="s">
        <v>20</v>
      </c>
      <c r="I57" s="35"/>
      <c r="J57" s="34">
        <v>31364497</v>
      </c>
      <c r="K57" s="34" t="s">
        <v>133</v>
      </c>
      <c r="L57" s="34" t="str">
        <f>_xlfn.XLOOKUP(Tabla2__2[[#This Row],[CODIGO RUTA]],'DATA INFORME'!I:I,'DATA INFORME'!K:K)</f>
        <v>SI</v>
      </c>
      <c r="M57" s="34" t="str">
        <f>IF(Tabla2__2[[#This Row],[MYSTERY EFECTIVO]]="SI",_xlfn.XLOOKUP(Tabla2__2[[#This Row],[PREGUNTA]],ENCUESTA!G:G,ENCUESTA!D:D),"N/A")</f>
        <v>EJECUCIÓN DEL PDV</v>
      </c>
      <c r="N57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2.7272727272727271</v>
      </c>
      <c r="O57" s="34" t="str">
        <f>_xlfn.XLOOKUP(Tabla2__2[[#This Row],[PREGUNTA]],ENCUESTA!G:G,ENCUESTA!H:H)</f>
        <v>SI</v>
      </c>
      <c r="P57" s="34">
        <f>IF(Tabla2__2[[#This Row],[RTA]]=Tabla2__2[[#This Row],[RTA CORRECTA]],Tabla2__2[[#This Row],[TOTAL PUNTAJE]],0)</f>
        <v>2.7272727272727271</v>
      </c>
      <c r="Q57" s="34">
        <f t="shared" si="1"/>
        <v>0</v>
      </c>
      <c r="R57" s="34"/>
    </row>
    <row r="58" spans="1:18" x14ac:dyDescent="0.35">
      <c r="A58" s="34" t="s">
        <v>108</v>
      </c>
      <c r="B58" s="34" t="s">
        <v>111</v>
      </c>
      <c r="C58" t="s">
        <v>43</v>
      </c>
      <c r="D58" s="34" t="s">
        <v>43</v>
      </c>
      <c r="E58" s="34">
        <v>127058</v>
      </c>
      <c r="F58" s="34" t="s">
        <v>154</v>
      </c>
      <c r="G58" s="34" t="s">
        <v>99</v>
      </c>
      <c r="H58" s="34" t="s">
        <v>20</v>
      </c>
      <c r="I58" s="35"/>
      <c r="J58" s="34">
        <v>31364497</v>
      </c>
      <c r="K58" s="34" t="s">
        <v>133</v>
      </c>
      <c r="L58" s="34" t="str">
        <f>_xlfn.XLOOKUP(Tabla2__2[[#This Row],[CODIGO RUTA]],'DATA INFORME'!I:I,'DATA INFORME'!K:K)</f>
        <v>SI</v>
      </c>
      <c r="M58" s="34" t="str">
        <f>IF(Tabla2__2[[#This Row],[MYSTERY EFECTIVO]]="SI",_xlfn.XLOOKUP(Tabla2__2[[#This Row],[PREGUNTA]],ENCUESTA!G:G,ENCUESTA!D:D),"N/A")</f>
        <v>EJECUCIÓN DEL PDV</v>
      </c>
      <c r="N58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2.7272727272727271</v>
      </c>
      <c r="O58" s="34" t="str">
        <f>_xlfn.XLOOKUP(Tabla2__2[[#This Row],[PREGUNTA]],ENCUESTA!G:G,ENCUESTA!H:H)</f>
        <v>SI</v>
      </c>
      <c r="P58" s="34">
        <f>IF(Tabla2__2[[#This Row],[RTA]]=Tabla2__2[[#This Row],[RTA CORRECTA]],Tabla2__2[[#This Row],[TOTAL PUNTAJE]],0)</f>
        <v>2.7272727272727271</v>
      </c>
      <c r="Q58" s="34">
        <f t="shared" si="1"/>
        <v>0</v>
      </c>
      <c r="R58" s="34"/>
    </row>
    <row r="59" spans="1:18" x14ac:dyDescent="0.35">
      <c r="A59" s="34" t="s">
        <v>108</v>
      </c>
      <c r="B59" s="34" t="s">
        <v>111</v>
      </c>
      <c r="C59" t="s">
        <v>43</v>
      </c>
      <c r="D59" s="34" t="s">
        <v>43</v>
      </c>
      <c r="E59" s="34">
        <v>127058</v>
      </c>
      <c r="F59" s="34" t="s">
        <v>154</v>
      </c>
      <c r="G59" s="34" t="s">
        <v>98</v>
      </c>
      <c r="H59" s="34" t="s">
        <v>20</v>
      </c>
      <c r="I59" s="35"/>
      <c r="J59" s="34">
        <v>31364497</v>
      </c>
      <c r="K59" s="34" t="s">
        <v>133</v>
      </c>
      <c r="L59" s="34" t="str">
        <f>_xlfn.XLOOKUP(Tabla2__2[[#This Row],[CODIGO RUTA]],'DATA INFORME'!I:I,'DATA INFORME'!K:K)</f>
        <v>SI</v>
      </c>
      <c r="M59" s="34" t="str">
        <f>IF(Tabla2__2[[#This Row],[MYSTERY EFECTIVO]]="SI",_xlfn.XLOOKUP(Tabla2__2[[#This Row],[PREGUNTA]],ENCUESTA!G:G,ENCUESTA!D:D),"N/A")</f>
        <v>EJECUCIÓN DEL PDV</v>
      </c>
      <c r="N59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2.7272727272727271</v>
      </c>
      <c r="O59" s="34" t="str">
        <f>_xlfn.XLOOKUP(Tabla2__2[[#This Row],[PREGUNTA]],ENCUESTA!G:G,ENCUESTA!H:H)</f>
        <v>SI</v>
      </c>
      <c r="P59" s="34">
        <f>IF(Tabla2__2[[#This Row],[RTA]]=Tabla2__2[[#This Row],[RTA CORRECTA]],Tabla2__2[[#This Row],[TOTAL PUNTAJE]],0)</f>
        <v>2.7272727272727271</v>
      </c>
      <c r="Q59" s="34">
        <f t="shared" si="1"/>
        <v>0</v>
      </c>
      <c r="R59" s="34"/>
    </row>
    <row r="60" spans="1:18" x14ac:dyDescent="0.35">
      <c r="A60" s="34" t="s">
        <v>108</v>
      </c>
      <c r="B60" s="34" t="s">
        <v>111</v>
      </c>
      <c r="C60" t="s">
        <v>43</v>
      </c>
      <c r="D60" s="34" t="s">
        <v>43</v>
      </c>
      <c r="E60" s="34">
        <v>127058</v>
      </c>
      <c r="F60" s="34" t="s">
        <v>154</v>
      </c>
      <c r="G60" s="34" t="s">
        <v>126</v>
      </c>
      <c r="H60" s="34" t="s">
        <v>20</v>
      </c>
      <c r="I60" s="35"/>
      <c r="J60" s="34">
        <v>31364497</v>
      </c>
      <c r="K60" s="34" t="s">
        <v>133</v>
      </c>
      <c r="L60" s="34" t="str">
        <f>_xlfn.XLOOKUP(Tabla2__2[[#This Row],[CODIGO RUTA]],'DATA INFORME'!I:I,'DATA INFORME'!K:K)</f>
        <v>SI</v>
      </c>
      <c r="M60" s="34" t="str">
        <f>IF(Tabla2__2[[#This Row],[MYSTERY EFECTIVO]]="SI",_xlfn.XLOOKUP(Tabla2__2[[#This Row],[PREGUNTA]],ENCUESTA!G:G,ENCUESTA!D:D),"N/A")</f>
        <v>EJECUCIÓN DEL PDV</v>
      </c>
      <c r="N60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2.7272727272727271</v>
      </c>
      <c r="O60" s="34" t="str">
        <f>_xlfn.XLOOKUP(Tabla2__2[[#This Row],[PREGUNTA]],ENCUESTA!G:G,ENCUESTA!H:H)</f>
        <v>SI</v>
      </c>
      <c r="P60" s="34">
        <f>IF(Tabla2__2[[#This Row],[RTA]]=Tabla2__2[[#This Row],[RTA CORRECTA]],Tabla2__2[[#This Row],[TOTAL PUNTAJE]],0)</f>
        <v>2.7272727272727271</v>
      </c>
      <c r="Q60" s="34">
        <f t="shared" si="1"/>
        <v>0</v>
      </c>
      <c r="R60" s="34"/>
    </row>
    <row r="61" spans="1:18" x14ac:dyDescent="0.35">
      <c r="A61" s="34" t="s">
        <v>108</v>
      </c>
      <c r="B61" s="34" t="s">
        <v>111</v>
      </c>
      <c r="C61" t="s">
        <v>43</v>
      </c>
      <c r="D61" s="34" t="s">
        <v>43</v>
      </c>
      <c r="E61" s="34">
        <v>127058</v>
      </c>
      <c r="F61" s="34" t="s">
        <v>154</v>
      </c>
      <c r="G61" s="34" t="s">
        <v>125</v>
      </c>
      <c r="H61" s="34" t="s">
        <v>20</v>
      </c>
      <c r="I61" s="35"/>
      <c r="J61" s="34">
        <v>31364497</v>
      </c>
      <c r="K61" s="34" t="s">
        <v>133</v>
      </c>
      <c r="L61" s="34" t="str">
        <f>_xlfn.XLOOKUP(Tabla2__2[[#This Row],[CODIGO RUTA]],'DATA INFORME'!I:I,'DATA INFORME'!K:K)</f>
        <v>SI</v>
      </c>
      <c r="M61" s="34" t="str">
        <f>IF(Tabla2__2[[#This Row],[MYSTERY EFECTIVO]]="SI",_xlfn.XLOOKUP(Tabla2__2[[#This Row],[PREGUNTA]],ENCUESTA!G:G,ENCUESTA!D:D),"N/A")</f>
        <v>EJECUCIÓN DEL PDV</v>
      </c>
      <c r="N61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2.7272727272727271</v>
      </c>
      <c r="O61" s="34" t="str">
        <f>_xlfn.XLOOKUP(Tabla2__2[[#This Row],[PREGUNTA]],ENCUESTA!G:G,ENCUESTA!H:H)</f>
        <v>SI</v>
      </c>
      <c r="P61" s="34">
        <f>IF(Tabla2__2[[#This Row],[RTA]]=Tabla2__2[[#This Row],[RTA CORRECTA]],Tabla2__2[[#This Row],[TOTAL PUNTAJE]],0)</f>
        <v>2.7272727272727271</v>
      </c>
      <c r="Q61" s="34">
        <f t="shared" si="1"/>
        <v>0</v>
      </c>
      <c r="R61" s="34"/>
    </row>
    <row r="62" spans="1:18" x14ac:dyDescent="0.35">
      <c r="A62" s="34" t="s">
        <v>108</v>
      </c>
      <c r="B62" s="34" t="s">
        <v>111</v>
      </c>
      <c r="C62" t="s">
        <v>43</v>
      </c>
      <c r="D62" s="34" t="s">
        <v>43</v>
      </c>
      <c r="E62" s="34">
        <v>127058</v>
      </c>
      <c r="F62" s="34" t="s">
        <v>154</v>
      </c>
      <c r="G62" s="34" t="s">
        <v>97</v>
      </c>
      <c r="H62" s="34" t="s">
        <v>164</v>
      </c>
      <c r="I62" s="35"/>
      <c r="J62" s="34">
        <v>31364497</v>
      </c>
      <c r="K62" s="34" t="s">
        <v>133</v>
      </c>
      <c r="L62" s="34" t="str">
        <f>_xlfn.XLOOKUP(Tabla2__2[[#This Row],[CODIGO RUTA]],'DATA INFORME'!I:I,'DATA INFORME'!K:K)</f>
        <v>SI</v>
      </c>
      <c r="M62" s="34" t="str">
        <f>IF(Tabla2__2[[#This Row],[MYSTERY EFECTIVO]]="SI",_xlfn.XLOOKUP(Tabla2__2[[#This Row],[PREGUNTA]],ENCUESTA!G:G,ENCUESTA!D:D),"N/A")</f>
        <v>PRESENTACIÓN PERSONAL</v>
      </c>
      <c r="N62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</v>
      </c>
      <c r="O62" s="34" t="str">
        <f>_xlfn.XLOOKUP(Tabla2__2[[#This Row],[PREGUNTA]],ENCUESTA!G:G,ENCUESTA!H:H)</f>
        <v xml:space="preserve"> NO</v>
      </c>
      <c r="P62" s="34">
        <f>IF(Tabla2__2[[#This Row],[RTA]]=Tabla2__2[[#This Row],[RTA CORRECTA]],Tabla2__2[[#This Row],[TOTAL PUNTAJE]],0)</f>
        <v>1</v>
      </c>
      <c r="Q62" s="34">
        <f t="shared" si="1"/>
        <v>0</v>
      </c>
      <c r="R62" s="34"/>
    </row>
    <row r="63" spans="1:18" x14ac:dyDescent="0.35">
      <c r="A63" s="34" t="s">
        <v>108</v>
      </c>
      <c r="B63" s="34" t="s">
        <v>111</v>
      </c>
      <c r="C63" t="s">
        <v>43</v>
      </c>
      <c r="D63" s="34" t="s">
        <v>43</v>
      </c>
      <c r="E63" s="34">
        <v>127058</v>
      </c>
      <c r="F63" s="34" t="s">
        <v>154</v>
      </c>
      <c r="G63" s="34" t="s">
        <v>96</v>
      </c>
      <c r="H63" s="34" t="s">
        <v>164</v>
      </c>
      <c r="I63" s="35"/>
      <c r="J63" s="34">
        <v>31364497</v>
      </c>
      <c r="K63" s="34" t="s">
        <v>133</v>
      </c>
      <c r="L63" s="34" t="str">
        <f>_xlfn.XLOOKUP(Tabla2__2[[#This Row],[CODIGO RUTA]],'DATA INFORME'!I:I,'DATA INFORME'!K:K)</f>
        <v>SI</v>
      </c>
      <c r="M63" s="34" t="str">
        <f>IF(Tabla2__2[[#This Row],[MYSTERY EFECTIVO]]="SI",_xlfn.XLOOKUP(Tabla2__2[[#This Row],[PREGUNTA]],ENCUESTA!G:G,ENCUESTA!D:D),"N/A")</f>
        <v>PRESENTACIÓN PERSONAL</v>
      </c>
      <c r="N63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</v>
      </c>
      <c r="O63" s="34" t="str">
        <f>_xlfn.XLOOKUP(Tabla2__2[[#This Row],[PREGUNTA]],ENCUESTA!G:G,ENCUESTA!H:H)</f>
        <v xml:space="preserve"> NO</v>
      </c>
      <c r="P63" s="34">
        <f>IF(Tabla2__2[[#This Row],[RTA]]=Tabla2__2[[#This Row],[RTA CORRECTA]],Tabla2__2[[#This Row],[TOTAL PUNTAJE]],0)</f>
        <v>1</v>
      </c>
      <c r="Q63" s="34">
        <f t="shared" si="1"/>
        <v>0</v>
      </c>
      <c r="R63" s="34"/>
    </row>
    <row r="64" spans="1:18" x14ac:dyDescent="0.35">
      <c r="A64" s="34" t="s">
        <v>108</v>
      </c>
      <c r="B64" s="34" t="s">
        <v>111</v>
      </c>
      <c r="C64" t="s">
        <v>43</v>
      </c>
      <c r="D64" s="34" t="s">
        <v>43</v>
      </c>
      <c r="E64" s="34">
        <v>127058</v>
      </c>
      <c r="F64" s="34" t="s">
        <v>154</v>
      </c>
      <c r="G64" s="34" t="s">
        <v>95</v>
      </c>
      <c r="H64" s="34" t="s">
        <v>164</v>
      </c>
      <c r="I64" s="35"/>
      <c r="J64" s="34">
        <v>31364497</v>
      </c>
      <c r="K64" s="34" t="s">
        <v>133</v>
      </c>
      <c r="L64" s="34" t="str">
        <f>_xlfn.XLOOKUP(Tabla2__2[[#This Row],[CODIGO RUTA]],'DATA INFORME'!I:I,'DATA INFORME'!K:K)</f>
        <v>SI</v>
      </c>
      <c r="M64" s="34" t="str">
        <f>IF(Tabla2__2[[#This Row],[MYSTERY EFECTIVO]]="SI",_xlfn.XLOOKUP(Tabla2__2[[#This Row],[PREGUNTA]],ENCUESTA!G:G,ENCUESTA!D:D),"N/A")</f>
        <v>PRESENTACIÓN PERSONAL</v>
      </c>
      <c r="N64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</v>
      </c>
      <c r="O64" s="34" t="str">
        <f>_xlfn.XLOOKUP(Tabla2__2[[#This Row],[PREGUNTA]],ENCUESTA!G:G,ENCUESTA!H:H)</f>
        <v xml:space="preserve"> NO</v>
      </c>
      <c r="P64" s="34">
        <f>IF(Tabla2__2[[#This Row],[RTA]]=Tabla2__2[[#This Row],[RTA CORRECTA]],Tabla2__2[[#This Row],[TOTAL PUNTAJE]],0)</f>
        <v>1</v>
      </c>
      <c r="Q64" s="34">
        <f t="shared" si="1"/>
        <v>0</v>
      </c>
      <c r="R64" s="34"/>
    </row>
    <row r="65" spans="1:18" x14ac:dyDescent="0.35">
      <c r="A65" s="34" t="s">
        <v>108</v>
      </c>
      <c r="B65" s="34" t="s">
        <v>111</v>
      </c>
      <c r="C65" t="s">
        <v>43</v>
      </c>
      <c r="D65" s="34" t="s">
        <v>43</v>
      </c>
      <c r="E65" s="34">
        <v>127058</v>
      </c>
      <c r="F65" s="34" t="s">
        <v>154</v>
      </c>
      <c r="G65" s="34" t="s">
        <v>94</v>
      </c>
      <c r="H65" s="34" t="s">
        <v>164</v>
      </c>
      <c r="I65" s="35"/>
      <c r="J65" s="34">
        <v>31364497</v>
      </c>
      <c r="K65" s="34" t="s">
        <v>133</v>
      </c>
      <c r="L65" s="34" t="str">
        <f>_xlfn.XLOOKUP(Tabla2__2[[#This Row],[CODIGO RUTA]],'DATA INFORME'!I:I,'DATA INFORME'!K:K)</f>
        <v>SI</v>
      </c>
      <c r="M65" s="34" t="str">
        <f>IF(Tabla2__2[[#This Row],[MYSTERY EFECTIVO]]="SI",_xlfn.XLOOKUP(Tabla2__2[[#This Row],[PREGUNTA]],ENCUESTA!G:G,ENCUESTA!D:D),"N/A")</f>
        <v>PRESENTACIÓN PERSONAL</v>
      </c>
      <c r="N65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</v>
      </c>
      <c r="O65" s="34" t="str">
        <f>_xlfn.XLOOKUP(Tabla2__2[[#This Row],[PREGUNTA]],ENCUESTA!G:G,ENCUESTA!H:H)</f>
        <v xml:space="preserve"> NO</v>
      </c>
      <c r="P65" s="34">
        <f>IF(Tabla2__2[[#This Row],[RTA]]=Tabla2__2[[#This Row],[RTA CORRECTA]],Tabla2__2[[#This Row],[TOTAL PUNTAJE]],0)</f>
        <v>1</v>
      </c>
      <c r="Q65" s="34">
        <f t="shared" si="1"/>
        <v>0</v>
      </c>
      <c r="R65" s="34"/>
    </row>
    <row r="66" spans="1:18" x14ac:dyDescent="0.35">
      <c r="A66" s="34" t="s">
        <v>108</v>
      </c>
      <c r="B66" s="34" t="s">
        <v>111</v>
      </c>
      <c r="C66" t="s">
        <v>43</v>
      </c>
      <c r="D66" s="34" t="s">
        <v>43</v>
      </c>
      <c r="E66" s="34">
        <v>127058</v>
      </c>
      <c r="F66" s="34" t="s">
        <v>154</v>
      </c>
      <c r="G66" s="34" t="s">
        <v>93</v>
      </c>
      <c r="H66" s="34" t="s">
        <v>20</v>
      </c>
      <c r="I66" s="35"/>
      <c r="J66" s="34">
        <v>31364497</v>
      </c>
      <c r="K66" s="34" t="s">
        <v>133</v>
      </c>
      <c r="L66" s="34" t="str">
        <f>_xlfn.XLOOKUP(Tabla2__2[[#This Row],[CODIGO RUTA]],'DATA INFORME'!I:I,'DATA INFORME'!K:K)</f>
        <v>SI</v>
      </c>
      <c r="M66" s="34" t="str">
        <f>IF(Tabla2__2[[#This Row],[MYSTERY EFECTIVO]]="SI",_xlfn.XLOOKUP(Tabla2__2[[#This Row],[PREGUNTA]],ENCUESTA!G:G,ENCUESTA!D:D),"N/A")</f>
        <v>PRESENTACIÓN PERSONAL</v>
      </c>
      <c r="N66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</v>
      </c>
      <c r="O66" s="34" t="str">
        <f>_xlfn.XLOOKUP(Tabla2__2[[#This Row],[PREGUNTA]],ENCUESTA!G:G,ENCUESTA!H:H)</f>
        <v>SI</v>
      </c>
      <c r="P66" s="34">
        <f>IF(Tabla2__2[[#This Row],[RTA]]=Tabla2__2[[#This Row],[RTA CORRECTA]],Tabla2__2[[#This Row],[TOTAL PUNTAJE]],0)</f>
        <v>1</v>
      </c>
      <c r="Q66" s="34">
        <f t="shared" ref="Q66:Q99" si="2">IF(OR(H66="Dog Chow húmedo",H66="Cat Chow húmedo",H66="Fancy Feast",H66="Felix",H66="Proplan húmedo",H66="One húmedo",H66="Snack Abrazzos",H66="Snak Dentalife",H66="Arenilla Tidy Cat"),N66,0)</f>
        <v>0</v>
      </c>
      <c r="R66" s="34"/>
    </row>
    <row r="67" spans="1:18" x14ac:dyDescent="0.35">
      <c r="A67" s="34" t="s">
        <v>108</v>
      </c>
      <c r="B67" s="34" t="s">
        <v>111</v>
      </c>
      <c r="C67" t="s">
        <v>43</v>
      </c>
      <c r="D67" s="34" t="s">
        <v>43</v>
      </c>
      <c r="E67" s="34">
        <v>127058</v>
      </c>
      <c r="F67" s="34" t="s">
        <v>154</v>
      </c>
      <c r="G67" s="34" t="s">
        <v>92</v>
      </c>
      <c r="H67" s="34" t="s">
        <v>20</v>
      </c>
      <c r="I67" s="35"/>
      <c r="J67" s="34">
        <v>31364497</v>
      </c>
      <c r="K67" s="34" t="s">
        <v>133</v>
      </c>
      <c r="L67" s="34" t="str">
        <f>_xlfn.XLOOKUP(Tabla2__2[[#This Row],[CODIGO RUTA]],'DATA INFORME'!I:I,'DATA INFORME'!K:K)</f>
        <v>SI</v>
      </c>
      <c r="M67" s="34" t="str">
        <f>IF(Tabla2__2[[#This Row],[MYSTERY EFECTIVO]]="SI",_xlfn.XLOOKUP(Tabla2__2[[#This Row],[PREGUNTA]],ENCUESTA!G:G,ENCUESTA!D:D),"N/A")</f>
        <v>PRESENTACIÓN PERSONAL</v>
      </c>
      <c r="N67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</v>
      </c>
      <c r="O67" s="34" t="str">
        <f>_xlfn.XLOOKUP(Tabla2__2[[#This Row],[PREGUNTA]],ENCUESTA!G:G,ENCUESTA!H:H)</f>
        <v>SI</v>
      </c>
      <c r="P67" s="34">
        <f>IF(Tabla2__2[[#This Row],[RTA]]=Tabla2__2[[#This Row],[RTA CORRECTA]],Tabla2__2[[#This Row],[TOTAL PUNTAJE]],0)</f>
        <v>1</v>
      </c>
      <c r="Q67" s="34">
        <f t="shared" si="2"/>
        <v>0</v>
      </c>
      <c r="R67" s="34"/>
    </row>
    <row r="68" spans="1:18" x14ac:dyDescent="0.35">
      <c r="A68" s="34" t="s">
        <v>108</v>
      </c>
      <c r="B68" s="34" t="s">
        <v>111</v>
      </c>
      <c r="C68" t="s">
        <v>43</v>
      </c>
      <c r="D68" s="34" t="s">
        <v>43</v>
      </c>
      <c r="E68" s="34">
        <v>127058</v>
      </c>
      <c r="F68" s="34" t="s">
        <v>154</v>
      </c>
      <c r="G68" s="34" t="s">
        <v>91</v>
      </c>
      <c r="H68" s="34" t="s">
        <v>164</v>
      </c>
      <c r="I68" s="35"/>
      <c r="J68" s="34">
        <v>31364497</v>
      </c>
      <c r="K68" s="34" t="s">
        <v>133</v>
      </c>
      <c r="L68" s="34" t="str">
        <f>_xlfn.XLOOKUP(Tabla2__2[[#This Row],[CODIGO RUTA]],'DATA INFORME'!I:I,'DATA INFORME'!K:K)</f>
        <v>SI</v>
      </c>
      <c r="M68" s="34" t="str">
        <f>IF(Tabla2__2[[#This Row],[MYSTERY EFECTIVO]]="SI",_xlfn.XLOOKUP(Tabla2__2[[#This Row],[PREGUNTA]],ENCUESTA!G:G,ENCUESTA!D:D),"N/A")</f>
        <v>PRESENTACIÓN PERSONAL</v>
      </c>
      <c r="N68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</v>
      </c>
      <c r="O68" s="34" t="str">
        <f>_xlfn.XLOOKUP(Tabla2__2[[#This Row],[PREGUNTA]],ENCUESTA!G:G,ENCUESTA!H:H)</f>
        <v xml:space="preserve"> NO</v>
      </c>
      <c r="P68" s="34">
        <f>IF(Tabla2__2[[#This Row],[RTA]]=Tabla2__2[[#This Row],[RTA CORRECTA]],Tabla2__2[[#This Row],[TOTAL PUNTAJE]],0)</f>
        <v>1</v>
      </c>
      <c r="Q68" s="34">
        <f t="shared" si="2"/>
        <v>0</v>
      </c>
      <c r="R68" s="34"/>
    </row>
    <row r="69" spans="1:18" x14ac:dyDescent="0.35">
      <c r="A69" s="34" t="s">
        <v>108</v>
      </c>
      <c r="B69" s="34" t="s">
        <v>111</v>
      </c>
      <c r="C69" t="s">
        <v>43</v>
      </c>
      <c r="D69" s="34" t="s">
        <v>43</v>
      </c>
      <c r="E69" s="34">
        <v>127058</v>
      </c>
      <c r="F69" s="34" t="s">
        <v>154</v>
      </c>
      <c r="G69" s="34" t="s">
        <v>35</v>
      </c>
      <c r="H69" s="34" t="s">
        <v>20</v>
      </c>
      <c r="I69" s="35"/>
      <c r="J69" s="34">
        <v>31364497</v>
      </c>
      <c r="K69" s="34" t="s">
        <v>133</v>
      </c>
      <c r="L69" s="34" t="str">
        <f>_xlfn.XLOOKUP(Tabla2__2[[#This Row],[CODIGO RUTA]],'DATA INFORME'!I:I,'DATA INFORME'!K:K)</f>
        <v>SI</v>
      </c>
      <c r="M69" s="34" t="str">
        <f>IF(Tabla2__2[[#This Row],[MYSTERY EFECTIVO]]="SI",_xlfn.XLOOKUP(Tabla2__2[[#This Row],[PREGUNTA]],ENCUESTA!G:G,ENCUESTA!D:D),"N/A")</f>
        <v>PRESENTACIÓN PERSONAL</v>
      </c>
      <c r="N69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</v>
      </c>
      <c r="O69" s="34" t="str">
        <f>_xlfn.XLOOKUP(Tabla2__2[[#This Row],[PREGUNTA]],ENCUESTA!G:G,ENCUESTA!H:H)</f>
        <v>SI</v>
      </c>
      <c r="P69" s="34">
        <f>IF(Tabla2__2[[#This Row],[RTA]]=Tabla2__2[[#This Row],[RTA CORRECTA]],Tabla2__2[[#This Row],[TOTAL PUNTAJE]],0)</f>
        <v>1</v>
      </c>
      <c r="Q69" s="34">
        <f t="shared" si="2"/>
        <v>0</v>
      </c>
      <c r="R69" s="34"/>
    </row>
    <row r="70" spans="1:18" x14ac:dyDescent="0.35">
      <c r="A70" s="34" t="s">
        <v>108</v>
      </c>
      <c r="B70" s="34" t="s">
        <v>111</v>
      </c>
      <c r="C70" t="s">
        <v>43</v>
      </c>
      <c r="D70" s="34" t="s">
        <v>43</v>
      </c>
      <c r="E70" s="34">
        <v>127058</v>
      </c>
      <c r="F70" s="34" t="s">
        <v>154</v>
      </c>
      <c r="G70" s="34" t="s">
        <v>90</v>
      </c>
      <c r="H70" s="34" t="s">
        <v>20</v>
      </c>
      <c r="I70" s="35"/>
      <c r="J70" s="34">
        <v>31364497</v>
      </c>
      <c r="K70" s="34" t="s">
        <v>133</v>
      </c>
      <c r="L70" s="34" t="str">
        <f>_xlfn.XLOOKUP(Tabla2__2[[#This Row],[CODIGO RUTA]],'DATA INFORME'!I:I,'DATA INFORME'!K:K)</f>
        <v>SI</v>
      </c>
      <c r="M70" s="34" t="str">
        <f>IF(Tabla2__2[[#This Row],[MYSTERY EFECTIVO]]="SI",_xlfn.XLOOKUP(Tabla2__2[[#This Row],[PREGUNTA]],ENCUESTA!G:G,ENCUESTA!D:D),"N/A")</f>
        <v>PRESENTACIÓN PERSONAL</v>
      </c>
      <c r="N70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</v>
      </c>
      <c r="O70" s="34" t="str">
        <f>_xlfn.XLOOKUP(Tabla2__2[[#This Row],[PREGUNTA]],ENCUESTA!G:G,ENCUESTA!H:H)</f>
        <v>SI</v>
      </c>
      <c r="P70" s="34">
        <f>IF(Tabla2__2[[#This Row],[RTA]]=Tabla2__2[[#This Row],[RTA CORRECTA]],Tabla2__2[[#This Row],[TOTAL PUNTAJE]],0)</f>
        <v>1</v>
      </c>
      <c r="Q70" s="34">
        <f t="shared" si="2"/>
        <v>0</v>
      </c>
      <c r="R70" s="34"/>
    </row>
    <row r="71" spans="1:18" x14ac:dyDescent="0.35">
      <c r="A71" s="34" t="s">
        <v>108</v>
      </c>
      <c r="B71" s="34" t="s">
        <v>111</v>
      </c>
      <c r="C71" t="s">
        <v>43</v>
      </c>
      <c r="D71" s="34" t="s">
        <v>43</v>
      </c>
      <c r="E71" s="34">
        <v>127058</v>
      </c>
      <c r="F71" s="34" t="s">
        <v>154</v>
      </c>
      <c r="G71" s="34" t="s">
        <v>89</v>
      </c>
      <c r="H71" s="34" t="s">
        <v>20</v>
      </c>
      <c r="I71" s="35"/>
      <c r="J71" s="34">
        <v>31364497</v>
      </c>
      <c r="K71" s="34" t="s">
        <v>133</v>
      </c>
      <c r="L71" s="34" t="str">
        <f>_xlfn.XLOOKUP(Tabla2__2[[#This Row],[CODIGO RUTA]],'DATA INFORME'!I:I,'DATA INFORME'!K:K)</f>
        <v>SI</v>
      </c>
      <c r="M71" s="34" t="str">
        <f>IF(Tabla2__2[[#This Row],[MYSTERY EFECTIVO]]="SI",_xlfn.XLOOKUP(Tabla2__2[[#This Row],[PREGUNTA]],ENCUESTA!G:G,ENCUESTA!D:D),"N/A")</f>
        <v>PRESENTACIÓN PERSONAL</v>
      </c>
      <c r="N71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</v>
      </c>
      <c r="O71" s="34" t="str">
        <f>_xlfn.XLOOKUP(Tabla2__2[[#This Row],[PREGUNTA]],ENCUESTA!G:G,ENCUESTA!H:H)</f>
        <v>SI</v>
      </c>
      <c r="P71" s="34">
        <f>IF(Tabla2__2[[#This Row],[RTA]]=Tabla2__2[[#This Row],[RTA CORRECTA]],Tabla2__2[[#This Row],[TOTAL PUNTAJE]],0)</f>
        <v>1</v>
      </c>
      <c r="Q71" s="34">
        <f t="shared" si="2"/>
        <v>0</v>
      </c>
      <c r="R71" s="34"/>
    </row>
    <row r="72" spans="1:18" x14ac:dyDescent="0.35">
      <c r="A72" s="34" t="s">
        <v>108</v>
      </c>
      <c r="B72" s="34" t="s">
        <v>111</v>
      </c>
      <c r="C72" t="s">
        <v>43</v>
      </c>
      <c r="D72" s="34" t="s">
        <v>43</v>
      </c>
      <c r="E72" s="34">
        <v>127058</v>
      </c>
      <c r="F72" s="34" t="s">
        <v>154</v>
      </c>
      <c r="G72" s="34" t="s">
        <v>88</v>
      </c>
      <c r="H72" s="34" t="s">
        <v>20</v>
      </c>
      <c r="I72" s="35"/>
      <c r="J72" s="34">
        <v>31364497</v>
      </c>
      <c r="K72" s="34" t="s">
        <v>133</v>
      </c>
      <c r="L72" s="34" t="str">
        <f>_xlfn.XLOOKUP(Tabla2__2[[#This Row],[CODIGO RUTA]],'DATA INFORME'!I:I,'DATA INFORME'!K:K)</f>
        <v>SI</v>
      </c>
      <c r="M72" s="34" t="str">
        <f>IF(Tabla2__2[[#This Row],[MYSTERY EFECTIVO]]="SI",_xlfn.XLOOKUP(Tabla2__2[[#This Row],[PREGUNTA]],ENCUESTA!G:G,ENCUESTA!D:D),"N/A")</f>
        <v>HORARIO</v>
      </c>
      <c r="N72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20</v>
      </c>
      <c r="O72" s="34" t="str">
        <f>_xlfn.XLOOKUP(Tabla2__2[[#This Row],[PREGUNTA]],ENCUESTA!G:G,ENCUESTA!H:H)</f>
        <v>SI</v>
      </c>
      <c r="P72" s="34">
        <f>IF(Tabla2__2[[#This Row],[RTA]]=Tabla2__2[[#This Row],[RTA CORRECTA]],Tabla2__2[[#This Row],[TOTAL PUNTAJE]],0)</f>
        <v>20</v>
      </c>
      <c r="Q72" s="34">
        <f t="shared" si="2"/>
        <v>0</v>
      </c>
      <c r="R72" s="34"/>
    </row>
    <row r="73" spans="1:18" x14ac:dyDescent="0.35">
      <c r="A73" s="34" t="s">
        <v>108</v>
      </c>
      <c r="B73" s="34" t="s">
        <v>111</v>
      </c>
      <c r="C73" t="s">
        <v>43</v>
      </c>
      <c r="D73" s="34" t="s">
        <v>43</v>
      </c>
      <c r="E73" s="34">
        <v>127058</v>
      </c>
      <c r="F73" s="34" t="s">
        <v>154</v>
      </c>
      <c r="G73" s="34" t="s">
        <v>185</v>
      </c>
      <c r="H73" s="34" t="s">
        <v>20</v>
      </c>
      <c r="I73" s="35"/>
      <c r="J73" s="34">
        <v>31364497</v>
      </c>
      <c r="K73" s="34" t="s">
        <v>133</v>
      </c>
      <c r="L73" s="34" t="str">
        <f>_xlfn.XLOOKUP(Tabla2__2[[#This Row],[CODIGO RUTA]],'DATA INFORME'!I:I,'DATA INFORME'!K:K)</f>
        <v>SI</v>
      </c>
      <c r="M73" s="34" t="str">
        <f>IF(Tabla2__2[[#This Row],[MYSTERY EFECTIVO]]="SI",_xlfn.XLOOKUP(Tabla2__2[[#This Row],[PREGUNTA]],ENCUESTA!G:G,ENCUESTA!D:D),"N/A")</f>
        <v>EJECUCIÓN DEL PDV</v>
      </c>
      <c r="N73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8</v>
      </c>
      <c r="O73" s="34" t="str">
        <f>_xlfn.XLOOKUP(Tabla2__2[[#This Row],[PREGUNTA]],ENCUESTA!G:G,ENCUESTA!H:H)</f>
        <v>SI</v>
      </c>
      <c r="P73" s="34">
        <f>IF(Tabla2__2[[#This Row],[RTA]]=Tabla2__2[[#This Row],[RTA CORRECTA]],Tabla2__2[[#This Row],[TOTAL PUNTAJE]],0)</f>
        <v>8</v>
      </c>
      <c r="Q73" s="34">
        <f t="shared" si="2"/>
        <v>0</v>
      </c>
      <c r="R73" s="34"/>
    </row>
    <row r="74" spans="1:18" x14ac:dyDescent="0.35">
      <c r="A74" s="34" t="s">
        <v>108</v>
      </c>
      <c r="B74" s="34" t="s">
        <v>8</v>
      </c>
      <c r="C74" t="s">
        <v>43</v>
      </c>
      <c r="D74" s="34" t="s">
        <v>43</v>
      </c>
      <c r="E74" s="34">
        <v>103263</v>
      </c>
      <c r="F74" s="34" t="s">
        <v>249</v>
      </c>
      <c r="G74" s="34" t="s">
        <v>102</v>
      </c>
      <c r="H74" s="34" t="s">
        <v>20</v>
      </c>
      <c r="I74" s="35"/>
      <c r="J74" s="34">
        <v>31465725</v>
      </c>
      <c r="K74" s="34" t="s">
        <v>130</v>
      </c>
      <c r="L74" s="34" t="str">
        <f>_xlfn.XLOOKUP(Tabla2__2[[#This Row],[CODIGO RUTA]],'DATA INFORME'!I:I,'DATA INFORME'!K:K)</f>
        <v xml:space="preserve"> NO</v>
      </c>
      <c r="M74" s="34" t="str">
        <f>IF(Tabla2__2[[#This Row],[MYSTERY EFECTIVO]]="SI",_xlfn.XLOOKUP(Tabla2__2[[#This Row],[PREGUNTA]],ENCUESTA!G:G,ENCUESTA!D:D),"N/A")</f>
        <v>N/A</v>
      </c>
      <c r="N74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74" s="34">
        <f>_xlfn.XLOOKUP(Tabla2__2[[#This Row],[PREGUNTA]],ENCUESTA!G:G,ENCUESTA!H:H)</f>
        <v>0</v>
      </c>
      <c r="P74" s="34">
        <f>IF(Tabla2__2[[#This Row],[RTA]]=Tabla2__2[[#This Row],[RTA CORRECTA]],Tabla2__2[[#This Row],[TOTAL PUNTAJE]],0)</f>
        <v>0</v>
      </c>
      <c r="Q74" s="34">
        <f t="shared" si="2"/>
        <v>0</v>
      </c>
      <c r="R74" s="34"/>
    </row>
    <row r="75" spans="1:18" x14ac:dyDescent="0.35">
      <c r="A75" s="34" t="s">
        <v>108</v>
      </c>
      <c r="B75" s="34" t="s">
        <v>111</v>
      </c>
      <c r="C75" t="s">
        <v>43</v>
      </c>
      <c r="D75" s="34" t="s">
        <v>43</v>
      </c>
      <c r="E75" s="34">
        <v>127058</v>
      </c>
      <c r="F75" s="34" t="s">
        <v>154</v>
      </c>
      <c r="G75" s="34" t="s">
        <v>101</v>
      </c>
      <c r="H75" s="34" t="s">
        <v>187</v>
      </c>
      <c r="I75" s="35"/>
      <c r="J75" s="34">
        <v>31364497</v>
      </c>
      <c r="K75" s="34" t="s">
        <v>133</v>
      </c>
      <c r="L75" s="34" t="str">
        <f>_xlfn.XLOOKUP(Tabla2__2[[#This Row],[CODIGO RUTA]],'DATA INFORME'!I:I,'DATA INFORME'!K:K)</f>
        <v>SI</v>
      </c>
      <c r="M75" s="34" t="str">
        <f>IF(Tabla2__2[[#This Row],[MYSTERY EFECTIVO]]="SI",_xlfn.XLOOKUP(Tabla2__2[[#This Row],[PREGUNTA]],ENCUESTA!G:G,ENCUESTA!D:D),"N/A")</f>
        <v>N/A</v>
      </c>
      <c r="N75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75" s="34">
        <f>_xlfn.XLOOKUP(Tabla2__2[[#This Row],[PREGUNTA]],ENCUESTA!G:G,ENCUESTA!H:H)</f>
        <v>0</v>
      </c>
      <c r="P75" s="34">
        <f>IF(Tabla2__2[[#This Row],[RTA]]=Tabla2__2[[#This Row],[RTA CORRECTA]],Tabla2__2[[#This Row],[TOTAL PUNTAJE]],0)</f>
        <v>0</v>
      </c>
      <c r="Q75" s="34">
        <f t="shared" si="2"/>
        <v>0</v>
      </c>
      <c r="R75" s="34"/>
    </row>
    <row r="76" spans="1:18" x14ac:dyDescent="0.35">
      <c r="A76" s="34" t="s">
        <v>108</v>
      </c>
      <c r="B76" s="34" t="s">
        <v>111</v>
      </c>
      <c r="C76" t="s">
        <v>43</v>
      </c>
      <c r="D76" s="34" t="s">
        <v>43</v>
      </c>
      <c r="E76" s="34">
        <v>127058</v>
      </c>
      <c r="F76" s="34" t="s">
        <v>154</v>
      </c>
      <c r="G76" s="34" t="s">
        <v>136</v>
      </c>
      <c r="H76" s="34" t="s">
        <v>20</v>
      </c>
      <c r="I76" s="35"/>
      <c r="J76" s="34">
        <v>31364497</v>
      </c>
      <c r="K76" s="34" t="s">
        <v>133</v>
      </c>
      <c r="L76" s="34" t="str">
        <f>_xlfn.XLOOKUP(Tabla2__2[[#This Row],[CODIGO RUTA]],'DATA INFORME'!I:I,'DATA INFORME'!K:K)</f>
        <v>SI</v>
      </c>
      <c r="M76" s="34" t="str">
        <f>IF(Tabla2__2[[#This Row],[MYSTERY EFECTIVO]]="SI",_xlfn.XLOOKUP(Tabla2__2[[#This Row],[PREGUNTA]],ENCUESTA!G:G,ENCUESTA!D:D),"N/A")</f>
        <v>ACTIVIDADES DEL MES</v>
      </c>
      <c r="N76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8</v>
      </c>
      <c r="O76" s="34" t="str">
        <f>_xlfn.XLOOKUP(Tabla2__2[[#This Row],[PREGUNTA]],ENCUESTA!G:G,ENCUESTA!H:H)</f>
        <v>SI</v>
      </c>
      <c r="P76" s="34">
        <f>IF(Tabla2__2[[#This Row],[RTA]]=Tabla2__2[[#This Row],[RTA CORRECTA]],Tabla2__2[[#This Row],[TOTAL PUNTAJE]],0)</f>
        <v>8</v>
      </c>
      <c r="Q76" s="34">
        <f t="shared" si="2"/>
        <v>0</v>
      </c>
      <c r="R76" s="34"/>
    </row>
    <row r="77" spans="1:18" x14ac:dyDescent="0.35">
      <c r="A77" s="34" t="s">
        <v>108</v>
      </c>
      <c r="B77" s="34" t="s">
        <v>8</v>
      </c>
      <c r="C77" t="s">
        <v>14</v>
      </c>
      <c r="D77" s="34" t="s">
        <v>14</v>
      </c>
      <c r="E77" s="34">
        <v>555967</v>
      </c>
      <c r="F77" s="34" t="s">
        <v>201</v>
      </c>
      <c r="G77" s="34" t="s">
        <v>99</v>
      </c>
      <c r="H77" s="34" t="s">
        <v>20</v>
      </c>
      <c r="I77" s="35"/>
      <c r="J77" s="34">
        <v>31379123</v>
      </c>
      <c r="K77" s="34" t="s">
        <v>130</v>
      </c>
      <c r="L77" s="34" t="str">
        <f>_xlfn.XLOOKUP(Tabla2__2[[#This Row],[CODIGO RUTA]],'DATA INFORME'!I:I,'DATA INFORME'!K:K)</f>
        <v>SI</v>
      </c>
      <c r="M77" s="34" t="str">
        <f>IF(Tabla2__2[[#This Row],[MYSTERY EFECTIVO]]="SI",_xlfn.XLOOKUP(Tabla2__2[[#This Row],[PREGUNTA]],ENCUESTA!G:G,ENCUESTA!D:D),"N/A")</f>
        <v>EJECUCIÓN DEL PDV</v>
      </c>
      <c r="N77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2.7272727272727271</v>
      </c>
      <c r="O77" s="34" t="str">
        <f>_xlfn.XLOOKUP(Tabla2__2[[#This Row],[PREGUNTA]],ENCUESTA!G:G,ENCUESTA!H:H)</f>
        <v>SI</v>
      </c>
      <c r="P77" s="34">
        <f>IF(Tabla2__2[[#This Row],[RTA]]=Tabla2__2[[#This Row],[RTA CORRECTA]],Tabla2__2[[#This Row],[TOTAL PUNTAJE]],0)</f>
        <v>2.7272727272727271</v>
      </c>
      <c r="Q77" s="34">
        <f t="shared" si="2"/>
        <v>0</v>
      </c>
      <c r="R77" s="34"/>
    </row>
    <row r="78" spans="1:18" x14ac:dyDescent="0.35">
      <c r="A78" s="34" t="s">
        <v>108</v>
      </c>
      <c r="B78" s="34" t="s">
        <v>8</v>
      </c>
      <c r="C78" t="s">
        <v>14</v>
      </c>
      <c r="D78" s="34" t="s">
        <v>14</v>
      </c>
      <c r="E78" s="34">
        <v>555967</v>
      </c>
      <c r="F78" s="34" t="s">
        <v>201</v>
      </c>
      <c r="G78" s="34" t="s">
        <v>98</v>
      </c>
      <c r="H78" s="34" t="s">
        <v>20</v>
      </c>
      <c r="I78" s="35"/>
      <c r="J78" s="34">
        <v>31379123</v>
      </c>
      <c r="K78" s="34" t="s">
        <v>130</v>
      </c>
      <c r="L78" s="34" t="str">
        <f>_xlfn.XLOOKUP(Tabla2__2[[#This Row],[CODIGO RUTA]],'DATA INFORME'!I:I,'DATA INFORME'!K:K)</f>
        <v>SI</v>
      </c>
      <c r="M78" s="34" t="str">
        <f>IF(Tabla2__2[[#This Row],[MYSTERY EFECTIVO]]="SI",_xlfn.XLOOKUP(Tabla2__2[[#This Row],[PREGUNTA]],ENCUESTA!G:G,ENCUESTA!D:D),"N/A")</f>
        <v>EJECUCIÓN DEL PDV</v>
      </c>
      <c r="N78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2.7272727272727271</v>
      </c>
      <c r="O78" s="34" t="str">
        <f>_xlfn.XLOOKUP(Tabla2__2[[#This Row],[PREGUNTA]],ENCUESTA!G:G,ENCUESTA!H:H)</f>
        <v>SI</v>
      </c>
      <c r="P78" s="34">
        <f>IF(Tabla2__2[[#This Row],[RTA]]=Tabla2__2[[#This Row],[RTA CORRECTA]],Tabla2__2[[#This Row],[TOTAL PUNTAJE]],0)</f>
        <v>2.7272727272727271</v>
      </c>
      <c r="Q78" s="34">
        <f t="shared" si="2"/>
        <v>0</v>
      </c>
      <c r="R78" s="34"/>
    </row>
    <row r="79" spans="1:18" x14ac:dyDescent="0.35">
      <c r="A79" s="34" t="s">
        <v>108</v>
      </c>
      <c r="B79" s="34" t="s">
        <v>8</v>
      </c>
      <c r="C79" t="s">
        <v>14</v>
      </c>
      <c r="D79" s="34" t="s">
        <v>14</v>
      </c>
      <c r="E79" s="34">
        <v>555967</v>
      </c>
      <c r="F79" s="34" t="s">
        <v>201</v>
      </c>
      <c r="G79" s="34" t="s">
        <v>126</v>
      </c>
      <c r="H79" s="34" t="s">
        <v>20</v>
      </c>
      <c r="I79" s="35"/>
      <c r="J79" s="34">
        <v>31379123</v>
      </c>
      <c r="K79" s="34" t="s">
        <v>130</v>
      </c>
      <c r="L79" s="34" t="str">
        <f>_xlfn.XLOOKUP(Tabla2__2[[#This Row],[CODIGO RUTA]],'DATA INFORME'!I:I,'DATA INFORME'!K:K)</f>
        <v>SI</v>
      </c>
      <c r="M79" s="34" t="str">
        <f>IF(Tabla2__2[[#This Row],[MYSTERY EFECTIVO]]="SI",_xlfn.XLOOKUP(Tabla2__2[[#This Row],[PREGUNTA]],ENCUESTA!G:G,ENCUESTA!D:D),"N/A")</f>
        <v>EJECUCIÓN DEL PDV</v>
      </c>
      <c r="N79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2.7272727272727271</v>
      </c>
      <c r="O79" s="34" t="str">
        <f>_xlfn.XLOOKUP(Tabla2__2[[#This Row],[PREGUNTA]],ENCUESTA!G:G,ENCUESTA!H:H)</f>
        <v>SI</v>
      </c>
      <c r="P79" s="34">
        <f>IF(Tabla2__2[[#This Row],[RTA]]=Tabla2__2[[#This Row],[RTA CORRECTA]],Tabla2__2[[#This Row],[TOTAL PUNTAJE]],0)</f>
        <v>2.7272727272727271</v>
      </c>
      <c r="Q79" s="34">
        <f t="shared" si="2"/>
        <v>0</v>
      </c>
      <c r="R79" s="34"/>
    </row>
    <row r="80" spans="1:18" x14ac:dyDescent="0.35">
      <c r="A80" s="34" t="s">
        <v>108</v>
      </c>
      <c r="B80" s="34" t="s">
        <v>8</v>
      </c>
      <c r="C80" t="s">
        <v>14</v>
      </c>
      <c r="D80" s="34" t="s">
        <v>14</v>
      </c>
      <c r="E80" s="34">
        <v>555967</v>
      </c>
      <c r="F80" s="34" t="s">
        <v>201</v>
      </c>
      <c r="G80" s="34" t="s">
        <v>125</v>
      </c>
      <c r="H80" s="34" t="s">
        <v>20</v>
      </c>
      <c r="I80" s="35"/>
      <c r="J80" s="34">
        <v>31379123</v>
      </c>
      <c r="K80" s="34" t="s">
        <v>130</v>
      </c>
      <c r="L80" s="34" t="str">
        <f>_xlfn.XLOOKUP(Tabla2__2[[#This Row],[CODIGO RUTA]],'DATA INFORME'!I:I,'DATA INFORME'!K:K)</f>
        <v>SI</v>
      </c>
      <c r="M80" s="34" t="str">
        <f>IF(Tabla2__2[[#This Row],[MYSTERY EFECTIVO]]="SI",_xlfn.XLOOKUP(Tabla2__2[[#This Row],[PREGUNTA]],ENCUESTA!G:G,ENCUESTA!D:D),"N/A")</f>
        <v>EJECUCIÓN DEL PDV</v>
      </c>
      <c r="N80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2.7272727272727271</v>
      </c>
      <c r="O80" s="34" t="str">
        <f>_xlfn.XLOOKUP(Tabla2__2[[#This Row],[PREGUNTA]],ENCUESTA!G:G,ENCUESTA!H:H)</f>
        <v>SI</v>
      </c>
      <c r="P80" s="34">
        <f>IF(Tabla2__2[[#This Row],[RTA]]=Tabla2__2[[#This Row],[RTA CORRECTA]],Tabla2__2[[#This Row],[TOTAL PUNTAJE]],0)</f>
        <v>2.7272727272727271</v>
      </c>
      <c r="Q80" s="34">
        <f t="shared" si="2"/>
        <v>0</v>
      </c>
      <c r="R80" s="34"/>
    </row>
    <row r="81" spans="1:18" x14ac:dyDescent="0.35">
      <c r="A81" s="34" t="s">
        <v>108</v>
      </c>
      <c r="B81" s="34" t="s">
        <v>8</v>
      </c>
      <c r="C81" t="s">
        <v>14</v>
      </c>
      <c r="D81" s="34" t="s">
        <v>14</v>
      </c>
      <c r="E81" s="34">
        <v>555967</v>
      </c>
      <c r="F81" s="34" t="s">
        <v>201</v>
      </c>
      <c r="G81" s="34" t="s">
        <v>97</v>
      </c>
      <c r="H81" s="34" t="s">
        <v>164</v>
      </c>
      <c r="I81" s="35"/>
      <c r="J81" s="34">
        <v>31379123</v>
      </c>
      <c r="K81" s="34" t="s">
        <v>130</v>
      </c>
      <c r="L81" s="34" t="str">
        <f>_xlfn.XLOOKUP(Tabla2__2[[#This Row],[CODIGO RUTA]],'DATA INFORME'!I:I,'DATA INFORME'!K:K)</f>
        <v>SI</v>
      </c>
      <c r="M81" s="34" t="str">
        <f>IF(Tabla2__2[[#This Row],[MYSTERY EFECTIVO]]="SI",_xlfn.XLOOKUP(Tabla2__2[[#This Row],[PREGUNTA]],ENCUESTA!G:G,ENCUESTA!D:D),"N/A")</f>
        <v>PRESENTACIÓN PERSONAL</v>
      </c>
      <c r="N81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</v>
      </c>
      <c r="O81" s="34" t="str">
        <f>_xlfn.XLOOKUP(Tabla2__2[[#This Row],[PREGUNTA]],ENCUESTA!G:G,ENCUESTA!H:H)</f>
        <v xml:space="preserve"> NO</v>
      </c>
      <c r="P81" s="34">
        <f>IF(Tabla2__2[[#This Row],[RTA]]=Tabla2__2[[#This Row],[RTA CORRECTA]],Tabla2__2[[#This Row],[TOTAL PUNTAJE]],0)</f>
        <v>1</v>
      </c>
      <c r="Q81" s="34">
        <f t="shared" si="2"/>
        <v>0</v>
      </c>
      <c r="R81" s="34"/>
    </row>
    <row r="82" spans="1:18" x14ac:dyDescent="0.35">
      <c r="A82" s="34" t="s">
        <v>108</v>
      </c>
      <c r="B82" s="34" t="s">
        <v>8</v>
      </c>
      <c r="C82" t="s">
        <v>14</v>
      </c>
      <c r="D82" s="34" t="s">
        <v>14</v>
      </c>
      <c r="E82" s="34">
        <v>555967</v>
      </c>
      <c r="F82" s="34" t="s">
        <v>201</v>
      </c>
      <c r="G82" s="34" t="s">
        <v>96</v>
      </c>
      <c r="H82" s="34" t="s">
        <v>164</v>
      </c>
      <c r="I82" s="35"/>
      <c r="J82" s="34">
        <v>31379123</v>
      </c>
      <c r="K82" s="34" t="s">
        <v>130</v>
      </c>
      <c r="L82" s="34" t="str">
        <f>_xlfn.XLOOKUP(Tabla2__2[[#This Row],[CODIGO RUTA]],'DATA INFORME'!I:I,'DATA INFORME'!K:K)</f>
        <v>SI</v>
      </c>
      <c r="M82" s="34" t="str">
        <f>IF(Tabla2__2[[#This Row],[MYSTERY EFECTIVO]]="SI",_xlfn.XLOOKUP(Tabla2__2[[#This Row],[PREGUNTA]],ENCUESTA!G:G,ENCUESTA!D:D),"N/A")</f>
        <v>PRESENTACIÓN PERSONAL</v>
      </c>
      <c r="N82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</v>
      </c>
      <c r="O82" s="34" t="str">
        <f>_xlfn.XLOOKUP(Tabla2__2[[#This Row],[PREGUNTA]],ENCUESTA!G:G,ENCUESTA!H:H)</f>
        <v xml:space="preserve"> NO</v>
      </c>
      <c r="P82" s="34">
        <f>IF(Tabla2__2[[#This Row],[RTA]]=Tabla2__2[[#This Row],[RTA CORRECTA]],Tabla2__2[[#This Row],[TOTAL PUNTAJE]],0)</f>
        <v>1</v>
      </c>
      <c r="Q82" s="34">
        <f t="shared" si="2"/>
        <v>0</v>
      </c>
      <c r="R82" s="34"/>
    </row>
    <row r="83" spans="1:18" x14ac:dyDescent="0.35">
      <c r="A83" s="34" t="s">
        <v>108</v>
      </c>
      <c r="B83" s="34" t="s">
        <v>8</v>
      </c>
      <c r="C83" t="s">
        <v>14</v>
      </c>
      <c r="D83" s="34" t="s">
        <v>14</v>
      </c>
      <c r="E83" s="34">
        <v>555967</v>
      </c>
      <c r="F83" s="34" t="s">
        <v>201</v>
      </c>
      <c r="G83" s="34" t="s">
        <v>95</v>
      </c>
      <c r="H83" s="34" t="s">
        <v>164</v>
      </c>
      <c r="I83" s="35"/>
      <c r="J83" s="34">
        <v>31379123</v>
      </c>
      <c r="K83" s="34" t="s">
        <v>130</v>
      </c>
      <c r="L83" s="34" t="str">
        <f>_xlfn.XLOOKUP(Tabla2__2[[#This Row],[CODIGO RUTA]],'DATA INFORME'!I:I,'DATA INFORME'!K:K)</f>
        <v>SI</v>
      </c>
      <c r="M83" s="34" t="str">
        <f>IF(Tabla2__2[[#This Row],[MYSTERY EFECTIVO]]="SI",_xlfn.XLOOKUP(Tabla2__2[[#This Row],[PREGUNTA]],ENCUESTA!G:G,ENCUESTA!D:D),"N/A")</f>
        <v>PRESENTACIÓN PERSONAL</v>
      </c>
      <c r="N83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</v>
      </c>
      <c r="O83" s="34" t="str">
        <f>_xlfn.XLOOKUP(Tabla2__2[[#This Row],[PREGUNTA]],ENCUESTA!G:G,ENCUESTA!H:H)</f>
        <v xml:space="preserve"> NO</v>
      </c>
      <c r="P83" s="34">
        <f>IF(Tabla2__2[[#This Row],[RTA]]=Tabla2__2[[#This Row],[RTA CORRECTA]],Tabla2__2[[#This Row],[TOTAL PUNTAJE]],0)</f>
        <v>1</v>
      </c>
      <c r="Q83" s="34">
        <f t="shared" si="2"/>
        <v>0</v>
      </c>
      <c r="R83" s="34"/>
    </row>
    <row r="84" spans="1:18" x14ac:dyDescent="0.35">
      <c r="A84" s="34" t="s">
        <v>108</v>
      </c>
      <c r="B84" s="34" t="s">
        <v>8</v>
      </c>
      <c r="C84" t="s">
        <v>14</v>
      </c>
      <c r="D84" s="34" t="s">
        <v>14</v>
      </c>
      <c r="E84" s="34">
        <v>555967</v>
      </c>
      <c r="F84" s="34" t="s">
        <v>201</v>
      </c>
      <c r="G84" s="34" t="s">
        <v>94</v>
      </c>
      <c r="H84" s="34" t="s">
        <v>164</v>
      </c>
      <c r="I84" s="35"/>
      <c r="J84" s="34">
        <v>31379123</v>
      </c>
      <c r="K84" s="34" t="s">
        <v>130</v>
      </c>
      <c r="L84" s="34" t="str">
        <f>_xlfn.XLOOKUP(Tabla2__2[[#This Row],[CODIGO RUTA]],'DATA INFORME'!I:I,'DATA INFORME'!K:K)</f>
        <v>SI</v>
      </c>
      <c r="M84" s="34" t="str">
        <f>IF(Tabla2__2[[#This Row],[MYSTERY EFECTIVO]]="SI",_xlfn.XLOOKUP(Tabla2__2[[#This Row],[PREGUNTA]],ENCUESTA!G:G,ENCUESTA!D:D),"N/A")</f>
        <v>PRESENTACIÓN PERSONAL</v>
      </c>
      <c r="N84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</v>
      </c>
      <c r="O84" s="34" t="str">
        <f>_xlfn.XLOOKUP(Tabla2__2[[#This Row],[PREGUNTA]],ENCUESTA!G:G,ENCUESTA!H:H)</f>
        <v xml:space="preserve"> NO</v>
      </c>
      <c r="P84" s="34">
        <f>IF(Tabla2__2[[#This Row],[RTA]]=Tabla2__2[[#This Row],[RTA CORRECTA]],Tabla2__2[[#This Row],[TOTAL PUNTAJE]],0)</f>
        <v>1</v>
      </c>
      <c r="Q84" s="34">
        <f t="shared" si="2"/>
        <v>0</v>
      </c>
      <c r="R84" s="34"/>
    </row>
    <row r="85" spans="1:18" x14ac:dyDescent="0.35">
      <c r="A85" s="34" t="s">
        <v>108</v>
      </c>
      <c r="B85" s="34" t="s">
        <v>8</v>
      </c>
      <c r="C85" t="s">
        <v>14</v>
      </c>
      <c r="D85" s="34" t="s">
        <v>14</v>
      </c>
      <c r="E85" s="34">
        <v>555967</v>
      </c>
      <c r="F85" s="34" t="s">
        <v>201</v>
      </c>
      <c r="G85" s="34" t="s">
        <v>93</v>
      </c>
      <c r="H85" s="34" t="s">
        <v>20</v>
      </c>
      <c r="I85" s="35"/>
      <c r="J85" s="34">
        <v>31379123</v>
      </c>
      <c r="K85" s="34" t="s">
        <v>130</v>
      </c>
      <c r="L85" s="34" t="str">
        <f>_xlfn.XLOOKUP(Tabla2__2[[#This Row],[CODIGO RUTA]],'DATA INFORME'!I:I,'DATA INFORME'!K:K)</f>
        <v>SI</v>
      </c>
      <c r="M85" s="34" t="str">
        <f>IF(Tabla2__2[[#This Row],[MYSTERY EFECTIVO]]="SI",_xlfn.XLOOKUP(Tabla2__2[[#This Row],[PREGUNTA]],ENCUESTA!G:G,ENCUESTA!D:D),"N/A")</f>
        <v>PRESENTACIÓN PERSONAL</v>
      </c>
      <c r="N85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</v>
      </c>
      <c r="O85" s="34" t="str">
        <f>_xlfn.XLOOKUP(Tabla2__2[[#This Row],[PREGUNTA]],ENCUESTA!G:G,ENCUESTA!H:H)</f>
        <v>SI</v>
      </c>
      <c r="P85" s="34">
        <f>IF(Tabla2__2[[#This Row],[RTA]]=Tabla2__2[[#This Row],[RTA CORRECTA]],Tabla2__2[[#This Row],[TOTAL PUNTAJE]],0)</f>
        <v>1</v>
      </c>
      <c r="Q85" s="34">
        <f t="shared" si="2"/>
        <v>0</v>
      </c>
      <c r="R85" s="34"/>
    </row>
    <row r="86" spans="1:18" x14ac:dyDescent="0.35">
      <c r="A86" s="34" t="s">
        <v>108</v>
      </c>
      <c r="B86" s="34" t="s">
        <v>8</v>
      </c>
      <c r="C86" t="s">
        <v>14</v>
      </c>
      <c r="D86" s="34" t="s">
        <v>14</v>
      </c>
      <c r="E86" s="34">
        <v>555967</v>
      </c>
      <c r="F86" s="34" t="s">
        <v>201</v>
      </c>
      <c r="G86" s="34" t="s">
        <v>92</v>
      </c>
      <c r="H86" s="34" t="s">
        <v>20</v>
      </c>
      <c r="I86" s="35"/>
      <c r="J86" s="34">
        <v>31379123</v>
      </c>
      <c r="K86" s="34" t="s">
        <v>130</v>
      </c>
      <c r="L86" s="34" t="str">
        <f>_xlfn.XLOOKUP(Tabla2__2[[#This Row],[CODIGO RUTA]],'DATA INFORME'!I:I,'DATA INFORME'!K:K)</f>
        <v>SI</v>
      </c>
      <c r="M86" s="34" t="str">
        <f>IF(Tabla2__2[[#This Row],[MYSTERY EFECTIVO]]="SI",_xlfn.XLOOKUP(Tabla2__2[[#This Row],[PREGUNTA]],ENCUESTA!G:G,ENCUESTA!D:D),"N/A")</f>
        <v>PRESENTACIÓN PERSONAL</v>
      </c>
      <c r="N86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</v>
      </c>
      <c r="O86" s="34" t="str">
        <f>_xlfn.XLOOKUP(Tabla2__2[[#This Row],[PREGUNTA]],ENCUESTA!G:G,ENCUESTA!H:H)</f>
        <v>SI</v>
      </c>
      <c r="P86" s="34">
        <f>IF(Tabla2__2[[#This Row],[RTA]]=Tabla2__2[[#This Row],[RTA CORRECTA]],Tabla2__2[[#This Row],[TOTAL PUNTAJE]],0)</f>
        <v>1</v>
      </c>
      <c r="Q86" s="34">
        <f t="shared" si="2"/>
        <v>0</v>
      </c>
      <c r="R86" s="34"/>
    </row>
    <row r="87" spans="1:18" x14ac:dyDescent="0.35">
      <c r="A87" s="34" t="s">
        <v>108</v>
      </c>
      <c r="B87" s="34" t="s">
        <v>8</v>
      </c>
      <c r="C87" t="s">
        <v>14</v>
      </c>
      <c r="D87" s="34" t="s">
        <v>14</v>
      </c>
      <c r="E87" s="34">
        <v>555967</v>
      </c>
      <c r="F87" s="34" t="s">
        <v>201</v>
      </c>
      <c r="G87" s="34" t="s">
        <v>91</v>
      </c>
      <c r="H87" s="34" t="s">
        <v>164</v>
      </c>
      <c r="I87" s="35"/>
      <c r="J87" s="34">
        <v>31379123</v>
      </c>
      <c r="K87" s="34" t="s">
        <v>130</v>
      </c>
      <c r="L87" s="34" t="str">
        <f>_xlfn.XLOOKUP(Tabla2__2[[#This Row],[CODIGO RUTA]],'DATA INFORME'!I:I,'DATA INFORME'!K:K)</f>
        <v>SI</v>
      </c>
      <c r="M87" s="34" t="str">
        <f>IF(Tabla2__2[[#This Row],[MYSTERY EFECTIVO]]="SI",_xlfn.XLOOKUP(Tabla2__2[[#This Row],[PREGUNTA]],ENCUESTA!G:G,ENCUESTA!D:D),"N/A")</f>
        <v>PRESENTACIÓN PERSONAL</v>
      </c>
      <c r="N87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</v>
      </c>
      <c r="O87" s="34" t="str">
        <f>_xlfn.XLOOKUP(Tabla2__2[[#This Row],[PREGUNTA]],ENCUESTA!G:G,ENCUESTA!H:H)</f>
        <v xml:space="preserve"> NO</v>
      </c>
      <c r="P87" s="34">
        <f>IF(Tabla2__2[[#This Row],[RTA]]=Tabla2__2[[#This Row],[RTA CORRECTA]],Tabla2__2[[#This Row],[TOTAL PUNTAJE]],0)</f>
        <v>1</v>
      </c>
      <c r="Q87" s="34">
        <f t="shared" si="2"/>
        <v>0</v>
      </c>
      <c r="R87" s="34"/>
    </row>
    <row r="88" spans="1:18" x14ac:dyDescent="0.35">
      <c r="A88" s="34" t="s">
        <v>108</v>
      </c>
      <c r="B88" s="34" t="s">
        <v>8</v>
      </c>
      <c r="C88" t="s">
        <v>14</v>
      </c>
      <c r="D88" s="34" t="s">
        <v>14</v>
      </c>
      <c r="E88" s="34">
        <v>555967</v>
      </c>
      <c r="F88" s="34" t="s">
        <v>201</v>
      </c>
      <c r="G88" s="34" t="s">
        <v>35</v>
      </c>
      <c r="H88" s="34" t="s">
        <v>20</v>
      </c>
      <c r="I88" s="35"/>
      <c r="J88" s="34">
        <v>31379123</v>
      </c>
      <c r="K88" s="34" t="s">
        <v>130</v>
      </c>
      <c r="L88" s="34" t="str">
        <f>_xlfn.XLOOKUP(Tabla2__2[[#This Row],[CODIGO RUTA]],'DATA INFORME'!I:I,'DATA INFORME'!K:K)</f>
        <v>SI</v>
      </c>
      <c r="M88" s="34" t="str">
        <f>IF(Tabla2__2[[#This Row],[MYSTERY EFECTIVO]]="SI",_xlfn.XLOOKUP(Tabla2__2[[#This Row],[PREGUNTA]],ENCUESTA!G:G,ENCUESTA!D:D),"N/A")</f>
        <v>PRESENTACIÓN PERSONAL</v>
      </c>
      <c r="N88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</v>
      </c>
      <c r="O88" s="34" t="str">
        <f>_xlfn.XLOOKUP(Tabla2__2[[#This Row],[PREGUNTA]],ENCUESTA!G:G,ENCUESTA!H:H)</f>
        <v>SI</v>
      </c>
      <c r="P88" s="34">
        <f>IF(Tabla2__2[[#This Row],[RTA]]=Tabla2__2[[#This Row],[RTA CORRECTA]],Tabla2__2[[#This Row],[TOTAL PUNTAJE]],0)</f>
        <v>1</v>
      </c>
      <c r="Q88" s="34">
        <f t="shared" si="2"/>
        <v>0</v>
      </c>
      <c r="R88" s="34"/>
    </row>
    <row r="89" spans="1:18" x14ac:dyDescent="0.35">
      <c r="A89" s="34" t="s">
        <v>108</v>
      </c>
      <c r="B89" s="34" t="s">
        <v>8</v>
      </c>
      <c r="C89" t="s">
        <v>14</v>
      </c>
      <c r="D89" s="34" t="s">
        <v>14</v>
      </c>
      <c r="E89" s="34">
        <v>555967</v>
      </c>
      <c r="F89" s="34" t="s">
        <v>201</v>
      </c>
      <c r="G89" s="34" t="s">
        <v>90</v>
      </c>
      <c r="H89" s="34" t="s">
        <v>20</v>
      </c>
      <c r="I89" s="35"/>
      <c r="J89" s="34">
        <v>31379123</v>
      </c>
      <c r="K89" s="34" t="s">
        <v>130</v>
      </c>
      <c r="L89" s="34" t="str">
        <f>_xlfn.XLOOKUP(Tabla2__2[[#This Row],[CODIGO RUTA]],'DATA INFORME'!I:I,'DATA INFORME'!K:K)</f>
        <v>SI</v>
      </c>
      <c r="M89" s="34" t="str">
        <f>IF(Tabla2__2[[#This Row],[MYSTERY EFECTIVO]]="SI",_xlfn.XLOOKUP(Tabla2__2[[#This Row],[PREGUNTA]],ENCUESTA!G:G,ENCUESTA!D:D),"N/A")</f>
        <v>PRESENTACIÓN PERSONAL</v>
      </c>
      <c r="N89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</v>
      </c>
      <c r="O89" s="34" t="str">
        <f>_xlfn.XLOOKUP(Tabla2__2[[#This Row],[PREGUNTA]],ENCUESTA!G:G,ENCUESTA!H:H)</f>
        <v>SI</v>
      </c>
      <c r="P89" s="34">
        <f>IF(Tabla2__2[[#This Row],[RTA]]=Tabla2__2[[#This Row],[RTA CORRECTA]],Tabla2__2[[#This Row],[TOTAL PUNTAJE]],0)</f>
        <v>1</v>
      </c>
      <c r="Q89" s="34">
        <f t="shared" si="2"/>
        <v>0</v>
      </c>
      <c r="R89" s="34"/>
    </row>
    <row r="90" spans="1:18" x14ac:dyDescent="0.35">
      <c r="A90" s="34" t="s">
        <v>108</v>
      </c>
      <c r="B90" s="34" t="s">
        <v>8</v>
      </c>
      <c r="C90" t="s">
        <v>14</v>
      </c>
      <c r="D90" s="34" t="s">
        <v>14</v>
      </c>
      <c r="E90" s="34">
        <v>555967</v>
      </c>
      <c r="F90" s="34" t="s">
        <v>201</v>
      </c>
      <c r="G90" s="34" t="s">
        <v>89</v>
      </c>
      <c r="H90" s="34" t="s">
        <v>20</v>
      </c>
      <c r="I90" s="35"/>
      <c r="J90" s="34">
        <v>31379123</v>
      </c>
      <c r="K90" s="34" t="s">
        <v>130</v>
      </c>
      <c r="L90" s="34" t="str">
        <f>_xlfn.XLOOKUP(Tabla2__2[[#This Row],[CODIGO RUTA]],'DATA INFORME'!I:I,'DATA INFORME'!K:K)</f>
        <v>SI</v>
      </c>
      <c r="M90" s="34" t="str">
        <f>IF(Tabla2__2[[#This Row],[MYSTERY EFECTIVO]]="SI",_xlfn.XLOOKUP(Tabla2__2[[#This Row],[PREGUNTA]],ENCUESTA!G:G,ENCUESTA!D:D),"N/A")</f>
        <v>PRESENTACIÓN PERSONAL</v>
      </c>
      <c r="N90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</v>
      </c>
      <c r="O90" s="34" t="str">
        <f>_xlfn.XLOOKUP(Tabla2__2[[#This Row],[PREGUNTA]],ENCUESTA!G:G,ENCUESTA!H:H)</f>
        <v>SI</v>
      </c>
      <c r="P90" s="34">
        <f>IF(Tabla2__2[[#This Row],[RTA]]=Tabla2__2[[#This Row],[RTA CORRECTA]],Tabla2__2[[#This Row],[TOTAL PUNTAJE]],0)</f>
        <v>1</v>
      </c>
      <c r="Q90" s="34">
        <f t="shared" si="2"/>
        <v>0</v>
      </c>
      <c r="R90" s="34"/>
    </row>
    <row r="91" spans="1:18" x14ac:dyDescent="0.35">
      <c r="A91" s="34" t="s">
        <v>108</v>
      </c>
      <c r="B91" s="34" t="s">
        <v>8</v>
      </c>
      <c r="C91" t="s">
        <v>14</v>
      </c>
      <c r="D91" s="34" t="s">
        <v>14</v>
      </c>
      <c r="E91" s="34">
        <v>555967</v>
      </c>
      <c r="F91" s="34" t="s">
        <v>201</v>
      </c>
      <c r="G91" s="34" t="s">
        <v>88</v>
      </c>
      <c r="H91" s="34" t="s">
        <v>20</v>
      </c>
      <c r="I91" s="35"/>
      <c r="J91" s="34">
        <v>31379123</v>
      </c>
      <c r="K91" s="34" t="s">
        <v>130</v>
      </c>
      <c r="L91" s="34" t="str">
        <f>_xlfn.XLOOKUP(Tabla2__2[[#This Row],[CODIGO RUTA]],'DATA INFORME'!I:I,'DATA INFORME'!K:K)</f>
        <v>SI</v>
      </c>
      <c r="M91" s="34" t="str">
        <f>IF(Tabla2__2[[#This Row],[MYSTERY EFECTIVO]]="SI",_xlfn.XLOOKUP(Tabla2__2[[#This Row],[PREGUNTA]],ENCUESTA!G:G,ENCUESTA!D:D),"N/A")</f>
        <v>HORARIO</v>
      </c>
      <c r="N91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20</v>
      </c>
      <c r="O91" s="34" t="str">
        <f>_xlfn.XLOOKUP(Tabla2__2[[#This Row],[PREGUNTA]],ENCUESTA!G:G,ENCUESTA!H:H)</f>
        <v>SI</v>
      </c>
      <c r="P91" s="34">
        <f>IF(Tabla2__2[[#This Row],[RTA]]=Tabla2__2[[#This Row],[RTA CORRECTA]],Tabla2__2[[#This Row],[TOTAL PUNTAJE]],0)</f>
        <v>20</v>
      </c>
      <c r="Q91" s="34">
        <f t="shared" si="2"/>
        <v>0</v>
      </c>
      <c r="R91" s="34"/>
    </row>
    <row r="92" spans="1:18" x14ac:dyDescent="0.35">
      <c r="A92" s="34" t="s">
        <v>108</v>
      </c>
      <c r="B92" s="34" t="s">
        <v>8</v>
      </c>
      <c r="C92" t="s">
        <v>14</v>
      </c>
      <c r="D92" s="34" t="s">
        <v>14</v>
      </c>
      <c r="E92" s="34">
        <v>555967</v>
      </c>
      <c r="F92" s="34" t="s">
        <v>201</v>
      </c>
      <c r="G92" s="34" t="s">
        <v>87</v>
      </c>
      <c r="H92" s="34" t="s">
        <v>20</v>
      </c>
      <c r="I92" s="35"/>
      <c r="J92" s="34">
        <v>31379123</v>
      </c>
      <c r="K92" s="34" t="s">
        <v>130</v>
      </c>
      <c r="L92" s="34" t="str">
        <f>_xlfn.XLOOKUP(Tabla2__2[[#This Row],[CODIGO RUTA]],'DATA INFORME'!I:I,'DATA INFORME'!K:K)</f>
        <v>SI</v>
      </c>
      <c r="M92" s="34" t="str">
        <f>IF(Tabla2__2[[#This Row],[MYSTERY EFECTIVO]]="SI",_xlfn.XLOOKUP(Tabla2__2[[#This Row],[PREGUNTA]],ENCUESTA!G:G,ENCUESTA!D:D),"N/A")</f>
        <v>N/A</v>
      </c>
      <c r="N92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92" s="34">
        <f>_xlfn.XLOOKUP(Tabla2__2[[#This Row],[PREGUNTA]],ENCUESTA!G:G,ENCUESTA!H:H)</f>
        <v>0</v>
      </c>
      <c r="P92" s="34">
        <f>IF(Tabla2__2[[#This Row],[RTA]]=Tabla2__2[[#This Row],[RTA CORRECTA]],Tabla2__2[[#This Row],[TOTAL PUNTAJE]],0)</f>
        <v>0</v>
      </c>
      <c r="Q92" s="34">
        <f t="shared" si="2"/>
        <v>0</v>
      </c>
      <c r="R92" s="34"/>
    </row>
    <row r="93" spans="1:18" x14ac:dyDescent="0.35">
      <c r="A93" s="34" t="s">
        <v>108</v>
      </c>
      <c r="B93" s="34" t="s">
        <v>111</v>
      </c>
      <c r="C93" t="s">
        <v>43</v>
      </c>
      <c r="D93" s="34" t="s">
        <v>43</v>
      </c>
      <c r="E93" s="34">
        <v>127058</v>
      </c>
      <c r="F93" s="34" t="s">
        <v>154</v>
      </c>
      <c r="G93" s="34" t="s">
        <v>103</v>
      </c>
      <c r="H93" s="34" t="s">
        <v>197</v>
      </c>
      <c r="I93" s="35"/>
      <c r="J93" s="34">
        <v>31364497</v>
      </c>
      <c r="K93" s="34" t="s">
        <v>133</v>
      </c>
      <c r="L93" s="34" t="str">
        <f>_xlfn.XLOOKUP(Tabla2__2[[#This Row],[CODIGO RUTA]],'DATA INFORME'!I:I,'DATA INFORME'!K:K)</f>
        <v>SI</v>
      </c>
      <c r="M93" s="34" t="str">
        <f>IF(Tabla2__2[[#This Row],[MYSTERY EFECTIVO]]="SI",_xlfn.XLOOKUP(Tabla2__2[[#This Row],[PREGUNTA]],ENCUESTA!G:G,ENCUESTA!D:D),"N/A")</f>
        <v>N/A</v>
      </c>
      <c r="N93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93" s="34">
        <f>_xlfn.XLOOKUP(Tabla2__2[[#This Row],[PREGUNTA]],ENCUESTA!G:G,ENCUESTA!H:H)</f>
        <v>0</v>
      </c>
      <c r="P93" s="34">
        <f>IF(Tabla2__2[[#This Row],[RTA]]=Tabla2__2[[#This Row],[RTA CORRECTA]],Tabla2__2[[#This Row],[TOTAL PUNTAJE]],0)</f>
        <v>0</v>
      </c>
      <c r="Q93" s="34">
        <f t="shared" si="2"/>
        <v>0</v>
      </c>
      <c r="R93" s="34"/>
    </row>
    <row r="94" spans="1:18" x14ac:dyDescent="0.35">
      <c r="A94" s="34" t="s">
        <v>108</v>
      </c>
      <c r="B94" s="34" t="s">
        <v>111</v>
      </c>
      <c r="C94" t="s">
        <v>43</v>
      </c>
      <c r="D94" s="34" t="s">
        <v>43</v>
      </c>
      <c r="E94" s="34">
        <v>127058</v>
      </c>
      <c r="F94" s="34" t="s">
        <v>154</v>
      </c>
      <c r="G94" s="34" t="s">
        <v>102</v>
      </c>
      <c r="H94" s="34" t="s">
        <v>164</v>
      </c>
      <c r="I94" s="35"/>
      <c r="J94" s="34">
        <v>31364497</v>
      </c>
      <c r="K94" s="34" t="s">
        <v>133</v>
      </c>
      <c r="L94" s="34" t="str">
        <f>_xlfn.XLOOKUP(Tabla2__2[[#This Row],[CODIGO RUTA]],'DATA INFORME'!I:I,'DATA INFORME'!K:K)</f>
        <v>SI</v>
      </c>
      <c r="M94" s="34" t="str">
        <f>IF(Tabla2__2[[#This Row],[MYSTERY EFECTIVO]]="SI",_xlfn.XLOOKUP(Tabla2__2[[#This Row],[PREGUNTA]],ENCUESTA!G:G,ENCUESTA!D:D),"N/A")</f>
        <v>N/A</v>
      </c>
      <c r="N94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94" s="34">
        <f>_xlfn.XLOOKUP(Tabla2__2[[#This Row],[PREGUNTA]],ENCUESTA!G:G,ENCUESTA!H:H)</f>
        <v>0</v>
      </c>
      <c r="P94" s="34">
        <f>IF(Tabla2__2[[#This Row],[RTA]]=Tabla2__2[[#This Row],[RTA CORRECTA]],Tabla2__2[[#This Row],[TOTAL PUNTAJE]],0)</f>
        <v>0</v>
      </c>
      <c r="Q94" s="34">
        <f t="shared" si="2"/>
        <v>0</v>
      </c>
      <c r="R94" s="34"/>
    </row>
    <row r="95" spans="1:18" x14ac:dyDescent="0.35">
      <c r="A95" s="34" t="s">
        <v>108</v>
      </c>
      <c r="B95" s="34" t="s">
        <v>111</v>
      </c>
      <c r="C95" t="s">
        <v>43</v>
      </c>
      <c r="D95" s="34" t="s">
        <v>43</v>
      </c>
      <c r="E95" s="34">
        <v>127058</v>
      </c>
      <c r="F95" s="34" t="s">
        <v>154</v>
      </c>
      <c r="G95" s="34" t="s">
        <v>194</v>
      </c>
      <c r="H95" s="34" t="s">
        <v>20</v>
      </c>
      <c r="I95" s="35"/>
      <c r="J95" s="34">
        <v>31364497</v>
      </c>
      <c r="K95" s="34" t="s">
        <v>133</v>
      </c>
      <c r="L95" s="34" t="str">
        <f>_xlfn.XLOOKUP(Tabla2__2[[#This Row],[CODIGO RUTA]],'DATA INFORME'!I:I,'DATA INFORME'!K:K)</f>
        <v>SI</v>
      </c>
      <c r="M95" s="34" t="str">
        <f>IF(Tabla2__2[[#This Row],[MYSTERY EFECTIVO]]="SI",_xlfn.XLOOKUP(Tabla2__2[[#This Row],[PREGUNTA]],ENCUESTA!G:G,ENCUESTA!D:D),"N/A")</f>
        <v>ACTIVIDADES DEL MES</v>
      </c>
      <c r="N95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8</v>
      </c>
      <c r="O95" s="34" t="str">
        <f>_xlfn.XLOOKUP(Tabla2__2[[#This Row],[PREGUNTA]],ENCUESTA!G:G,ENCUESTA!H:H)</f>
        <v>SI</v>
      </c>
      <c r="P95" s="34">
        <f>IF(Tabla2__2[[#This Row],[RTA]]=Tabla2__2[[#This Row],[RTA CORRECTA]],Tabla2__2[[#This Row],[TOTAL PUNTAJE]],0)</f>
        <v>8</v>
      </c>
      <c r="Q95" s="34">
        <f t="shared" si="2"/>
        <v>0</v>
      </c>
      <c r="R95" s="34"/>
    </row>
    <row r="96" spans="1:18" x14ac:dyDescent="0.35">
      <c r="A96" s="34" t="s">
        <v>108</v>
      </c>
      <c r="B96" s="34" t="s">
        <v>111</v>
      </c>
      <c r="C96" t="s">
        <v>43</v>
      </c>
      <c r="D96" s="34" t="s">
        <v>43</v>
      </c>
      <c r="E96" s="34">
        <v>127058</v>
      </c>
      <c r="F96" s="34" t="s">
        <v>154</v>
      </c>
      <c r="G96" s="34" t="s">
        <v>192</v>
      </c>
      <c r="H96" s="34" t="s">
        <v>20</v>
      </c>
      <c r="I96" s="35"/>
      <c r="J96" s="34">
        <v>31364497</v>
      </c>
      <c r="K96" s="34" t="s">
        <v>133</v>
      </c>
      <c r="L96" s="34" t="str">
        <f>_xlfn.XLOOKUP(Tabla2__2[[#This Row],[CODIGO RUTA]],'DATA INFORME'!I:I,'DATA INFORME'!K:K)</f>
        <v>SI</v>
      </c>
      <c r="M96" s="34" t="str">
        <f>IF(Tabla2__2[[#This Row],[MYSTERY EFECTIVO]]="SI",_xlfn.XLOOKUP(Tabla2__2[[#This Row],[PREGUNTA]],ENCUESTA!G:G,ENCUESTA!D:D),"N/A")</f>
        <v>ACTIVIDADES DEL MES</v>
      </c>
      <c r="N96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8</v>
      </c>
      <c r="O96" s="34" t="str">
        <f>_xlfn.XLOOKUP(Tabla2__2[[#This Row],[PREGUNTA]],ENCUESTA!G:G,ENCUESTA!H:H)</f>
        <v>SI</v>
      </c>
      <c r="P96" s="34">
        <f>IF(Tabla2__2[[#This Row],[RTA]]=Tabla2__2[[#This Row],[RTA CORRECTA]],Tabla2__2[[#This Row],[TOTAL PUNTAJE]],0)</f>
        <v>8</v>
      </c>
      <c r="Q96" s="34">
        <f t="shared" si="2"/>
        <v>0</v>
      </c>
      <c r="R96" s="34"/>
    </row>
    <row r="97" spans="1:18" x14ac:dyDescent="0.35">
      <c r="A97" s="34" t="s">
        <v>108</v>
      </c>
      <c r="B97" s="34" t="s">
        <v>111</v>
      </c>
      <c r="C97" t="s">
        <v>43</v>
      </c>
      <c r="D97" s="34" t="s">
        <v>43</v>
      </c>
      <c r="E97" s="34">
        <v>127058</v>
      </c>
      <c r="F97" s="34" t="s">
        <v>154</v>
      </c>
      <c r="G97" s="34" t="s">
        <v>137</v>
      </c>
      <c r="H97" s="34" t="s">
        <v>20</v>
      </c>
      <c r="I97" s="35"/>
      <c r="J97" s="34">
        <v>31364497</v>
      </c>
      <c r="K97" s="34" t="s">
        <v>133</v>
      </c>
      <c r="L97" s="34" t="str">
        <f>_xlfn.XLOOKUP(Tabla2__2[[#This Row],[CODIGO RUTA]],'DATA INFORME'!I:I,'DATA INFORME'!K:K)</f>
        <v>SI</v>
      </c>
      <c r="M97" s="34" t="str">
        <f>IF(Tabla2__2[[#This Row],[MYSTERY EFECTIVO]]="SI",_xlfn.XLOOKUP(Tabla2__2[[#This Row],[PREGUNTA]],ENCUESTA!G:G,ENCUESTA!D:D),"N/A")</f>
        <v>ACTIVIDADES DEL MES</v>
      </c>
      <c r="N97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8</v>
      </c>
      <c r="O97" s="34" t="str">
        <f>_xlfn.XLOOKUP(Tabla2__2[[#This Row],[PREGUNTA]],ENCUESTA!G:G,ENCUESTA!H:H)</f>
        <v>SI</v>
      </c>
      <c r="P97" s="34">
        <f>IF(Tabla2__2[[#This Row],[RTA]]=Tabla2__2[[#This Row],[RTA CORRECTA]],Tabla2__2[[#This Row],[TOTAL PUNTAJE]],0)</f>
        <v>8</v>
      </c>
      <c r="Q97" s="34">
        <f t="shared" si="2"/>
        <v>0</v>
      </c>
      <c r="R97" s="34"/>
    </row>
    <row r="98" spans="1:18" x14ac:dyDescent="0.35">
      <c r="A98" s="34" t="s">
        <v>108</v>
      </c>
      <c r="B98" s="34" t="s">
        <v>111</v>
      </c>
      <c r="C98" t="s">
        <v>43</v>
      </c>
      <c r="D98" s="34" t="s">
        <v>43</v>
      </c>
      <c r="E98" s="34">
        <v>127058</v>
      </c>
      <c r="F98" s="34" t="s">
        <v>154</v>
      </c>
      <c r="G98" s="34" t="s">
        <v>124</v>
      </c>
      <c r="H98" s="34" t="s">
        <v>20</v>
      </c>
      <c r="I98" s="35"/>
      <c r="J98" s="34">
        <v>31364497</v>
      </c>
      <c r="K98" s="34" t="s">
        <v>133</v>
      </c>
      <c r="L98" s="34" t="str">
        <f>_xlfn.XLOOKUP(Tabla2__2[[#This Row],[CODIGO RUTA]],'DATA INFORME'!I:I,'DATA INFORME'!K:K)</f>
        <v>SI</v>
      </c>
      <c r="M98" s="34" t="str">
        <f>IF(Tabla2__2[[#This Row],[MYSTERY EFECTIVO]]="SI",_xlfn.XLOOKUP(Tabla2__2[[#This Row],[PREGUNTA]],ENCUESTA!G:G,ENCUESTA!D:D),"N/A")</f>
        <v>ACTIVIDADES DEL MES</v>
      </c>
      <c r="N98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8</v>
      </c>
      <c r="O98" s="34" t="str">
        <f>_xlfn.XLOOKUP(Tabla2__2[[#This Row],[PREGUNTA]],ENCUESTA!G:G,ENCUESTA!H:H)</f>
        <v>SI</v>
      </c>
      <c r="P98" s="34">
        <f>IF(Tabla2__2[[#This Row],[RTA]]=Tabla2__2[[#This Row],[RTA CORRECTA]],Tabla2__2[[#This Row],[TOTAL PUNTAJE]],0)</f>
        <v>8</v>
      </c>
      <c r="Q98" s="34">
        <f t="shared" si="2"/>
        <v>0</v>
      </c>
      <c r="R98" s="34"/>
    </row>
    <row r="99" spans="1:18" x14ac:dyDescent="0.35">
      <c r="A99" s="34" t="s">
        <v>108</v>
      </c>
      <c r="B99" s="34" t="s">
        <v>8</v>
      </c>
      <c r="C99" t="s">
        <v>43</v>
      </c>
      <c r="D99" s="34" t="s">
        <v>43</v>
      </c>
      <c r="E99" s="34">
        <v>103263</v>
      </c>
      <c r="F99" s="34" t="s">
        <v>249</v>
      </c>
      <c r="G99" s="34" t="s">
        <v>103</v>
      </c>
      <c r="H99" s="34" t="s">
        <v>254</v>
      </c>
      <c r="I99" s="35"/>
      <c r="J99" s="34">
        <v>31465725</v>
      </c>
      <c r="K99" s="34" t="s">
        <v>130</v>
      </c>
      <c r="L99" s="34" t="str">
        <f>_xlfn.XLOOKUP(Tabla2__2[[#This Row],[CODIGO RUTA]],'DATA INFORME'!I:I,'DATA INFORME'!K:K)</f>
        <v xml:space="preserve"> NO</v>
      </c>
      <c r="M99" s="34" t="str">
        <f>IF(Tabla2__2[[#This Row],[MYSTERY EFECTIVO]]="SI",_xlfn.XLOOKUP(Tabla2__2[[#This Row],[PREGUNTA]],ENCUESTA!G:G,ENCUESTA!D:D),"N/A")</f>
        <v>N/A</v>
      </c>
      <c r="N99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99" s="34">
        <f>_xlfn.XLOOKUP(Tabla2__2[[#This Row],[PREGUNTA]],ENCUESTA!G:G,ENCUESTA!H:H)</f>
        <v>0</v>
      </c>
      <c r="P99" s="34">
        <f>IF(Tabla2__2[[#This Row],[RTA]]=Tabla2__2[[#This Row],[RTA CORRECTA]],Tabla2__2[[#This Row],[TOTAL PUNTAJE]],0)</f>
        <v>0</v>
      </c>
      <c r="Q99" s="34">
        <f t="shared" si="2"/>
        <v>0</v>
      </c>
      <c r="R99" s="34"/>
    </row>
    <row r="100" spans="1:18" x14ac:dyDescent="0.35">
      <c r="A100" s="34"/>
      <c r="B100" s="34"/>
      <c r="C100" s="34"/>
      <c r="D100" s="34"/>
      <c r="E100" s="34"/>
      <c r="F100" s="34"/>
      <c r="G100" s="34"/>
      <c r="H100" s="35"/>
      <c r="I100" s="34"/>
      <c r="J100" s="34"/>
      <c r="K100" s="34"/>
      <c r="L100" s="34"/>
      <c r="M100" s="34"/>
      <c r="N100" s="34"/>
      <c r="O100" s="34"/>
      <c r="P100" s="34"/>
      <c r="Q100" s="34"/>
    </row>
    <row r="287" spans="18:18" x14ac:dyDescent="0.35">
      <c r="R287" s="34"/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64178B-F304-431E-B383-B38CC465224C}">
  <sheetPr codeName="Hoja4"/>
  <dimension ref="A1:I13"/>
  <sheetViews>
    <sheetView showGridLines="0" zoomScale="78" zoomScaleNormal="100" workbookViewId="0">
      <selection activeCell="H18" sqref="H18"/>
    </sheetView>
  </sheetViews>
  <sheetFormatPr baseColWidth="10" defaultColWidth="21.453125" defaultRowHeight="14.5" x14ac:dyDescent="0.35"/>
  <cols>
    <col min="1" max="1" width="14.26953125" style="66" customWidth="1"/>
    <col min="2" max="2" width="18.26953125" style="66" customWidth="1"/>
    <col min="3" max="3" width="16.81640625" style="60" customWidth="1"/>
    <col min="4" max="4" width="39.7265625" style="61" customWidth="1"/>
    <col min="5" max="5" width="21.453125" style="66"/>
  </cols>
  <sheetData>
    <row r="1" spans="1:9" x14ac:dyDescent="0.35">
      <c r="A1" s="47" t="s">
        <v>22</v>
      </c>
      <c r="B1" s="47" t="s">
        <v>1</v>
      </c>
      <c r="C1" s="47" t="s">
        <v>26</v>
      </c>
      <c r="D1" s="47" t="s">
        <v>23</v>
      </c>
      <c r="E1" s="48" t="s">
        <v>38</v>
      </c>
      <c r="F1" s="49" t="s">
        <v>39</v>
      </c>
      <c r="G1" s="49" t="s">
        <v>40</v>
      </c>
      <c r="H1" s="49" t="s">
        <v>41</v>
      </c>
      <c r="I1" s="50" t="s">
        <v>42</v>
      </c>
    </row>
    <row r="2" spans="1:9" x14ac:dyDescent="0.35">
      <c r="A2" s="41" t="str">
        <f>_xlfn.XLOOKUP(Tabla1[[#This Row],[CODIGO PDV]],Export!H:H,Export!D:D,0)</f>
        <v>TRADICIONAL</v>
      </c>
      <c r="B2" s="56" t="s">
        <v>8</v>
      </c>
      <c r="C2" s="41">
        <v>103263</v>
      </c>
      <c r="D2" s="57" t="s">
        <v>249</v>
      </c>
      <c r="E2" s="51">
        <v>1</v>
      </c>
      <c r="F2" s="52">
        <v>1</v>
      </c>
      <c r="G2" s="52">
        <f>IF(COUNTIFS(Export!I:I,Tabla1[[#This Row],[CODIGO PDV]])&gt;0,1,0)</f>
        <v>1</v>
      </c>
      <c r="H2" s="53">
        <f>COUNTIFS('DATA INFORME'!D:D,Tabla1[[#This Row],[CODIGO PDV]])</f>
        <v>1</v>
      </c>
      <c r="I2" s="54">
        <f>COUNTIFS('DATA INFORME'!D:D,Tabla1[[#This Row],[CODIGO PDV]],'DATA INFORME'!K:K,"SI")</f>
        <v>0</v>
      </c>
    </row>
    <row r="3" spans="1:9" s="55" customFormat="1" x14ac:dyDescent="0.35">
      <c r="A3" s="41" t="str">
        <f>_xlfn.XLOOKUP(Tabla1[[#This Row],[CODIGO PDV]],Export!H:H,Export!D:D,0)</f>
        <v>ESPECIALIZADO</v>
      </c>
      <c r="B3" s="41" t="s">
        <v>8</v>
      </c>
      <c r="C3" s="41">
        <v>555967</v>
      </c>
      <c r="D3" s="3" t="s">
        <v>201</v>
      </c>
      <c r="E3" s="51">
        <v>1</v>
      </c>
      <c r="F3" s="52">
        <v>1</v>
      </c>
      <c r="G3" s="52">
        <f>IF(COUNTIFS(Export!I:I,Tabla1[[#This Row],[CODIGO PDV]])&gt;0,1,0)</f>
        <v>1</v>
      </c>
      <c r="H3" s="53">
        <f>COUNTIFS('DATA INFORME'!D:D,Tabla1[[#This Row],[CODIGO PDV]])</f>
        <v>1</v>
      </c>
      <c r="I3" s="54">
        <f>COUNTIFS('DATA INFORME'!D:D,Tabla1[[#This Row],[CODIGO PDV]],'DATA INFORME'!K:K,"SI")</f>
        <v>1</v>
      </c>
    </row>
    <row r="4" spans="1:9" x14ac:dyDescent="0.35">
      <c r="A4" s="41" t="str">
        <f>_xlfn.XLOOKUP(Tabla1[[#This Row],[CODIGO PDV]],Export!H:H,Export!D:D,0)</f>
        <v>TRADICIONAL</v>
      </c>
      <c r="B4" s="41" t="s">
        <v>111</v>
      </c>
      <c r="C4" s="41">
        <v>127058</v>
      </c>
      <c r="D4" s="3" t="s">
        <v>154</v>
      </c>
      <c r="E4" s="53">
        <v>1</v>
      </c>
      <c r="F4" s="52">
        <v>1</v>
      </c>
      <c r="G4" s="52">
        <f>IF(COUNTIFS(Export!I:I,Tabla1[[#This Row],[CODIGO PDV]])&gt;0,1,0)</f>
        <v>1</v>
      </c>
      <c r="H4" s="53">
        <f>COUNTIFS('DATA INFORME'!D:D,Tabla1[[#This Row],[CODIGO PDV]])</f>
        <v>1</v>
      </c>
      <c r="I4" s="54">
        <f>COUNTIFS('DATA INFORME'!D:D,Tabla1[[#This Row],[CODIGO PDV]],'DATA INFORME'!K:K,"SI")</f>
        <v>1</v>
      </c>
    </row>
    <row r="5" spans="1:9" x14ac:dyDescent="0.35">
      <c r="A5" s="41" t="str">
        <f>_xlfn.XLOOKUP(Tabla1[[#This Row],[CODIGO PDV]],Export!H:H,Export!D:D,0)</f>
        <v>ESPECIALIZADO</v>
      </c>
      <c r="B5" s="41" t="s">
        <v>210</v>
      </c>
      <c r="C5" s="41">
        <v>425892</v>
      </c>
      <c r="D5" s="3" t="s">
        <v>212</v>
      </c>
      <c r="E5" s="51">
        <v>1</v>
      </c>
      <c r="F5" s="52">
        <v>1</v>
      </c>
      <c r="G5" s="52">
        <f>IF(COUNTIFS(Export!I:I,Tabla1[[#This Row],[CODIGO PDV]])&gt;0,1,0)</f>
        <v>1</v>
      </c>
      <c r="H5" s="53">
        <f>COUNTIFS('DATA INFORME'!D:D,Tabla1[[#This Row],[CODIGO PDV]])</f>
        <v>1</v>
      </c>
      <c r="I5" s="54">
        <f>COUNTIFS('DATA INFORME'!D:D,Tabla1[[#This Row],[CODIGO PDV]],'DATA INFORME'!K:K,"SI")</f>
        <v>1</v>
      </c>
    </row>
    <row r="6" spans="1:9" x14ac:dyDescent="0.35">
      <c r="A6" s="78" t="s">
        <v>43</v>
      </c>
      <c r="B6" s="79" t="s">
        <v>199</v>
      </c>
      <c r="C6" s="80">
        <v>152026</v>
      </c>
      <c r="D6" s="81" t="s">
        <v>259</v>
      </c>
      <c r="E6" s="72">
        <v>1</v>
      </c>
      <c r="F6" s="73">
        <v>1</v>
      </c>
      <c r="G6" s="73">
        <f>IF(COUNTIFS(Export!I:I,Tabla1[[#This Row],[CODIGO PDV]])&gt;0,1,0)</f>
        <v>0</v>
      </c>
      <c r="H6" s="72">
        <f>COUNTIFS('DATA INFORME'!D:D,Tabla1[[#This Row],[CODIGO PDV]])</f>
        <v>0</v>
      </c>
      <c r="I6" s="74">
        <f>COUNTIFS('DATA INFORME'!D:D,Tabla1[[#This Row],[CODIGO PDV]],'DATA INFORME'!K:K,"SI")</f>
        <v>0</v>
      </c>
    </row>
    <row r="7" spans="1:9" x14ac:dyDescent="0.35">
      <c r="A7" s="58"/>
      <c r="B7" s="58"/>
      <c r="C7" s="58"/>
      <c r="D7" s="58"/>
      <c r="E7" s="58"/>
      <c r="F7" s="3"/>
      <c r="G7" s="3"/>
      <c r="H7" s="3"/>
      <c r="I7" s="3"/>
    </row>
    <row r="8" spans="1:9" x14ac:dyDescent="0.35">
      <c r="A8" s="58"/>
      <c r="B8" s="58"/>
      <c r="C8" s="58"/>
      <c r="D8" s="58"/>
      <c r="E8" s="58"/>
      <c r="F8" s="3"/>
      <c r="G8" s="3"/>
      <c r="H8" s="3"/>
      <c r="I8" s="3"/>
    </row>
    <row r="9" spans="1:9" x14ac:dyDescent="0.35">
      <c r="A9" s="47" t="s">
        <v>22</v>
      </c>
      <c r="B9" s="47" t="s">
        <v>1</v>
      </c>
      <c r="C9" s="47" t="s">
        <v>36</v>
      </c>
      <c r="D9" s="47" t="s">
        <v>37</v>
      </c>
      <c r="E9" s="59" t="s">
        <v>44</v>
      </c>
      <c r="F9" s="3"/>
      <c r="G9" s="3"/>
      <c r="H9" s="3"/>
      <c r="I9" s="3"/>
    </row>
    <row r="10" spans="1:9" ht="107" customHeight="1" x14ac:dyDescent="0.35">
      <c r="A10" s="41" t="s">
        <v>43</v>
      </c>
      <c r="B10" s="41" t="s">
        <v>8</v>
      </c>
      <c r="C10" s="41">
        <v>103263</v>
      </c>
      <c r="D10" s="41" t="s">
        <v>249</v>
      </c>
      <c r="E10" s="71" t="s">
        <v>254</v>
      </c>
      <c r="F10" s="3"/>
      <c r="G10" s="69" t="s">
        <v>260</v>
      </c>
      <c r="H10" s="3"/>
      <c r="I10" s="3"/>
    </row>
    <row r="11" spans="1:9" ht="43.5" x14ac:dyDescent="0.35">
      <c r="A11" s="76" t="s">
        <v>43</v>
      </c>
      <c r="B11" s="56" t="s">
        <v>199</v>
      </c>
      <c r="C11" s="77">
        <v>152026</v>
      </c>
      <c r="D11" s="57" t="s">
        <v>259</v>
      </c>
      <c r="E11" s="71" t="s">
        <v>263</v>
      </c>
    </row>
    <row r="13" spans="1:9" x14ac:dyDescent="0.35">
      <c r="E13" s="66" t="str">
        <f>UPPER(E12)</f>
        <v/>
      </c>
    </row>
  </sheetData>
  <phoneticPr fontId="3" type="noConversion"/>
  <conditionalFormatting sqref="C2:C6">
    <cfRule type="duplicateValues" dxfId="4" priority="118"/>
  </conditionalFormatting>
  <conditionalFormatting sqref="C11">
    <cfRule type="duplicateValues" dxfId="3" priority="1"/>
  </conditionalFormatting>
  <conditionalFormatting sqref="D1:D2">
    <cfRule type="duplicateValues" dxfId="2" priority="38"/>
  </conditionalFormatting>
  <conditionalFormatting sqref="D9">
    <cfRule type="duplicateValues" dxfId="1" priority="11"/>
  </conditionalFormatting>
  <pageMargins left="0.7" right="0.7" top="0.75" bottom="0.75" header="0.3" footer="0.3"/>
  <pageSetup orientation="portrait" horizontalDpi="200" verticalDpi="200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AB8DAD-F1CE-4E4C-BF86-A78BF80D79A3}">
  <sheetPr codeName="Hoja5"/>
  <dimension ref="A1:AU5"/>
  <sheetViews>
    <sheetView zoomScale="80" zoomScaleNormal="80" workbookViewId="0">
      <selection activeCell="F22" sqref="F22"/>
    </sheetView>
  </sheetViews>
  <sheetFormatPr baseColWidth="10" defaultRowHeight="14.5" x14ac:dyDescent="0.35"/>
  <cols>
    <col min="1" max="3" width="14.1796875" bestFit="1" customWidth="1"/>
    <col min="4" max="4" width="15" bestFit="1" customWidth="1"/>
    <col min="5" max="5" width="25.08984375" bestFit="1" customWidth="1"/>
    <col min="6" max="6" width="26.1796875" bestFit="1" customWidth="1"/>
    <col min="7" max="7" width="21" bestFit="1" customWidth="1"/>
    <col min="8" max="8" width="15.6328125" bestFit="1" customWidth="1"/>
    <col min="9" max="9" width="15.90625" bestFit="1" customWidth="1"/>
    <col min="10" max="10" width="14.54296875" bestFit="1" customWidth="1"/>
    <col min="11" max="11" width="34.08984375" bestFit="1" customWidth="1"/>
    <col min="12" max="12" width="52.7265625" bestFit="1" customWidth="1"/>
    <col min="13" max="14" width="80.7265625" bestFit="1" customWidth="1"/>
    <col min="15" max="15" width="47.54296875" bestFit="1" customWidth="1"/>
    <col min="16" max="16" width="80.7265625" bestFit="1" customWidth="1"/>
    <col min="17" max="17" width="64.54296875" bestFit="1" customWidth="1"/>
    <col min="18" max="18" width="50.1796875" bestFit="1" customWidth="1"/>
    <col min="19" max="19" width="77" bestFit="1" customWidth="1"/>
    <col min="20" max="20" width="80.453125" bestFit="1" customWidth="1"/>
    <col min="21" max="21" width="78.90625" bestFit="1" customWidth="1"/>
    <col min="22" max="22" width="62.36328125" bestFit="1" customWidth="1"/>
    <col min="23" max="28" width="80.7265625" bestFit="1" customWidth="1"/>
    <col min="29" max="29" width="70" bestFit="1" customWidth="1"/>
    <col min="30" max="30" width="79.6328125" bestFit="1" customWidth="1"/>
    <col min="31" max="33" width="80.7265625" bestFit="1" customWidth="1"/>
    <col min="34" max="34" width="41.36328125" bestFit="1" customWidth="1"/>
    <col min="35" max="35" width="80.7265625" bestFit="1" customWidth="1"/>
    <col min="36" max="36" width="71.1796875" bestFit="1" customWidth="1"/>
    <col min="37" max="37" width="70" bestFit="1" customWidth="1"/>
    <col min="38" max="39" width="80.7265625" customWidth="1"/>
    <col min="40" max="40" width="75" bestFit="1" customWidth="1"/>
    <col min="41" max="43" width="80.7265625" customWidth="1"/>
    <col min="44" max="44" width="71.90625" bestFit="1" customWidth="1"/>
    <col min="45" max="45" width="75.54296875" bestFit="1" customWidth="1"/>
    <col min="46" max="46" width="68.81640625" bestFit="1" customWidth="1"/>
    <col min="47" max="47" width="80.7265625" bestFit="1" customWidth="1"/>
    <col min="48" max="48" width="67" bestFit="1" customWidth="1"/>
    <col min="49" max="50" width="80.7265625" bestFit="1" customWidth="1"/>
    <col min="51" max="51" width="71.90625" bestFit="1" customWidth="1"/>
    <col min="52" max="52" width="68.81640625" bestFit="1" customWidth="1"/>
    <col min="53" max="53" width="80.7265625" bestFit="1" customWidth="1"/>
    <col min="54" max="54" width="70" bestFit="1" customWidth="1"/>
    <col min="55" max="55" width="68.81640625" bestFit="1" customWidth="1"/>
    <col min="56" max="57" width="80.7265625" bestFit="1" customWidth="1"/>
    <col min="58" max="58" width="75" bestFit="1" customWidth="1"/>
    <col min="59" max="60" width="80.7265625" bestFit="1" customWidth="1"/>
    <col min="61" max="61" width="71.90625" bestFit="1" customWidth="1"/>
    <col min="62" max="62" width="68.81640625" bestFit="1" customWidth="1"/>
    <col min="63" max="65" width="80.7265625" bestFit="1" customWidth="1"/>
    <col min="66" max="66" width="47.90625" bestFit="1" customWidth="1"/>
    <col min="67" max="68" width="81.1796875" customWidth="1"/>
    <col min="69" max="70" width="71.7265625" bestFit="1" customWidth="1"/>
    <col min="71" max="74" width="81.1796875" bestFit="1" customWidth="1"/>
    <col min="75" max="75" width="69" bestFit="1" customWidth="1"/>
    <col min="76" max="76" width="81.1796875" bestFit="1" customWidth="1"/>
    <col min="77" max="77" width="71.7265625" bestFit="1" customWidth="1"/>
    <col min="78" max="78" width="81.1796875" bestFit="1" customWidth="1"/>
    <col min="79" max="79" width="77.54296875" bestFit="1" customWidth="1"/>
    <col min="80" max="80" width="81.1796875" bestFit="1" customWidth="1"/>
    <col min="81" max="81" width="69" bestFit="1" customWidth="1"/>
    <col min="82" max="83" width="81.1796875" bestFit="1" customWidth="1"/>
    <col min="84" max="84" width="60.1796875" bestFit="1" customWidth="1"/>
    <col min="85" max="85" width="54.81640625" bestFit="1" customWidth="1"/>
    <col min="86" max="86" width="57.54296875" bestFit="1" customWidth="1"/>
    <col min="87" max="87" width="50.81640625" bestFit="1" customWidth="1"/>
    <col min="88" max="88" width="50.453125" bestFit="1" customWidth="1"/>
    <col min="89" max="89" width="41.54296875" bestFit="1" customWidth="1"/>
    <col min="90" max="90" width="78.54296875" bestFit="1" customWidth="1"/>
    <col min="91" max="91" width="81.1796875" bestFit="1" customWidth="1"/>
    <col min="92" max="92" width="78.26953125" bestFit="1" customWidth="1"/>
    <col min="93" max="93" width="70.453125" bestFit="1" customWidth="1"/>
    <col min="94" max="94" width="81.1796875" bestFit="1" customWidth="1"/>
    <col min="95" max="95" width="46.54296875" bestFit="1" customWidth="1"/>
    <col min="96" max="96" width="50.453125" bestFit="1" customWidth="1"/>
    <col min="97" max="97" width="25" bestFit="1" customWidth="1"/>
    <col min="98" max="98" width="38.54296875" bestFit="1" customWidth="1"/>
    <col min="99" max="99" width="37.7265625" bestFit="1" customWidth="1"/>
    <col min="100" max="100" width="33" bestFit="1" customWidth="1"/>
    <col min="101" max="101" width="24.54296875" bestFit="1" customWidth="1"/>
    <col min="102" max="102" width="38" bestFit="1" customWidth="1"/>
    <col min="103" max="103" width="81.1796875" bestFit="1" customWidth="1"/>
    <col min="104" max="104" width="62.81640625" bestFit="1" customWidth="1"/>
    <col min="105" max="105" width="36.453125" bestFit="1" customWidth="1"/>
    <col min="106" max="107" width="17.54296875" bestFit="1" customWidth="1"/>
    <col min="108" max="108" width="42.453125" bestFit="1" customWidth="1"/>
    <col min="109" max="110" width="81.1796875" bestFit="1" customWidth="1"/>
    <col min="111" max="111" width="50.81640625" bestFit="1" customWidth="1"/>
    <col min="112" max="112" width="81.1796875" bestFit="1" customWidth="1"/>
    <col min="113" max="113" width="68.54296875" bestFit="1" customWidth="1"/>
    <col min="114" max="114" width="53.26953125" bestFit="1" customWidth="1"/>
    <col min="115" max="117" width="81.1796875" bestFit="1" customWidth="1"/>
    <col min="118" max="118" width="66.7265625" bestFit="1" customWidth="1"/>
    <col min="119" max="119" width="55.81640625" bestFit="1" customWidth="1"/>
    <col min="120" max="121" width="81.1796875" bestFit="1" customWidth="1"/>
    <col min="122" max="122" width="27.453125" bestFit="1" customWidth="1"/>
    <col min="123" max="123" width="81.1796875" bestFit="1" customWidth="1"/>
    <col min="124" max="124" width="77.1796875" bestFit="1" customWidth="1"/>
    <col min="125" max="128" width="81.1796875" bestFit="1" customWidth="1"/>
    <col min="129" max="129" width="77.26953125" bestFit="1" customWidth="1"/>
    <col min="130" max="130" width="70" bestFit="1" customWidth="1"/>
    <col min="131" max="131" width="32.1796875" bestFit="1" customWidth="1"/>
    <col min="132" max="132" width="30.26953125" bestFit="1" customWidth="1"/>
    <col min="133" max="133" width="46.54296875" bestFit="1" customWidth="1"/>
    <col min="134" max="134" width="51" bestFit="1" customWidth="1"/>
    <col min="135" max="135" width="81.1796875" bestFit="1" customWidth="1"/>
    <col min="136" max="136" width="81.1796875" customWidth="1"/>
    <col min="137" max="137" width="73.1796875" bestFit="1" customWidth="1"/>
    <col min="138" max="138" width="81.1796875" bestFit="1" customWidth="1"/>
    <col min="139" max="143" width="81.1796875" customWidth="1"/>
    <col min="144" max="144" width="31.7265625" bestFit="1" customWidth="1"/>
    <col min="145" max="145" width="81.1796875" bestFit="1" customWidth="1"/>
    <col min="146" max="146" width="81.1796875" customWidth="1"/>
    <col min="147" max="147" width="10.453125" bestFit="1" customWidth="1"/>
    <col min="148" max="148" width="12.26953125" bestFit="1" customWidth="1"/>
    <col min="149" max="149" width="12.54296875" bestFit="1" customWidth="1"/>
    <col min="150" max="150" width="67.54296875" customWidth="1"/>
    <col min="151" max="155" width="80.7265625" customWidth="1"/>
    <col min="156" max="156" width="29.1796875" customWidth="1"/>
    <col min="157" max="157" width="27.26953125" customWidth="1"/>
    <col min="158" max="158" width="9.7265625" customWidth="1"/>
    <col min="159" max="159" width="11.453125" bestFit="1" customWidth="1"/>
    <col min="160" max="160" width="11.7265625" bestFit="1" customWidth="1"/>
    <col min="161" max="161" width="11.453125" bestFit="1" customWidth="1"/>
    <col min="162" max="162" width="56" bestFit="1" customWidth="1"/>
    <col min="163" max="163" width="46.1796875" bestFit="1" customWidth="1"/>
    <col min="164" max="165" width="56" bestFit="1" customWidth="1"/>
    <col min="166" max="166" width="48.26953125" bestFit="1" customWidth="1"/>
    <col min="167" max="170" width="56" bestFit="1" customWidth="1"/>
    <col min="171" max="171" width="48.81640625" bestFit="1" customWidth="1"/>
    <col min="172" max="173" width="56" bestFit="1" customWidth="1"/>
    <col min="174" max="174" width="25.26953125" bestFit="1" customWidth="1"/>
    <col min="175" max="179" width="56" bestFit="1" customWidth="1"/>
    <col min="180" max="180" width="42.453125" bestFit="1" customWidth="1"/>
    <col min="181" max="181" width="46.1796875" bestFit="1" customWidth="1"/>
    <col min="182" max="182" width="25.1796875" bestFit="1" customWidth="1"/>
    <col min="183" max="190" width="56" bestFit="1" customWidth="1"/>
    <col min="191" max="191" width="29.1796875" bestFit="1" customWidth="1"/>
    <col min="192" max="192" width="9.81640625" bestFit="1" customWidth="1"/>
    <col min="193" max="193" width="11.453125" bestFit="1" customWidth="1"/>
  </cols>
  <sheetData>
    <row r="1" spans="1:47" x14ac:dyDescent="0.35">
      <c r="A1" t="s">
        <v>24</v>
      </c>
      <c r="B1" t="s">
        <v>1</v>
      </c>
      <c r="C1" t="s">
        <v>25</v>
      </c>
      <c r="D1" t="s">
        <v>26</v>
      </c>
      <c r="E1" t="s">
        <v>23</v>
      </c>
      <c r="F1" t="s">
        <v>51</v>
      </c>
      <c r="G1" t="s">
        <v>52</v>
      </c>
      <c r="H1" t="s">
        <v>29</v>
      </c>
      <c r="I1" t="s">
        <v>30</v>
      </c>
      <c r="J1" t="s">
        <v>31</v>
      </c>
      <c r="K1" t="s">
        <v>87</v>
      </c>
      <c r="L1" t="s">
        <v>88</v>
      </c>
      <c r="M1" t="s">
        <v>89</v>
      </c>
      <c r="N1" t="s">
        <v>90</v>
      </c>
      <c r="O1" t="s">
        <v>35</v>
      </c>
      <c r="P1" t="s">
        <v>91</v>
      </c>
      <c r="Q1" t="s">
        <v>92</v>
      </c>
      <c r="R1" t="s">
        <v>93</v>
      </c>
      <c r="S1" t="s">
        <v>94</v>
      </c>
      <c r="T1" t="s">
        <v>95</v>
      </c>
      <c r="U1" t="s">
        <v>96</v>
      </c>
      <c r="V1" t="s">
        <v>97</v>
      </c>
      <c r="W1" t="s">
        <v>125</v>
      </c>
      <c r="X1" t="s">
        <v>126</v>
      </c>
      <c r="Y1" t="s">
        <v>98</v>
      </c>
      <c r="Z1" t="s">
        <v>99</v>
      </c>
      <c r="AA1" t="s">
        <v>100</v>
      </c>
      <c r="AB1" t="s">
        <v>121</v>
      </c>
      <c r="AC1" t="s">
        <v>178</v>
      </c>
      <c r="AD1" t="s">
        <v>180</v>
      </c>
      <c r="AE1" t="s">
        <v>182</v>
      </c>
      <c r="AF1" t="s">
        <v>122</v>
      </c>
      <c r="AG1" t="s">
        <v>185</v>
      </c>
      <c r="AH1" t="s">
        <v>101</v>
      </c>
      <c r="AI1" t="s">
        <v>124</v>
      </c>
      <c r="AJ1" t="s">
        <v>136</v>
      </c>
      <c r="AK1" t="s">
        <v>137</v>
      </c>
      <c r="AL1" t="s">
        <v>192</v>
      </c>
      <c r="AM1" t="s">
        <v>194</v>
      </c>
      <c r="AN1" t="s">
        <v>102</v>
      </c>
      <c r="AO1" t="s">
        <v>103</v>
      </c>
      <c r="AP1" t="s">
        <v>138</v>
      </c>
      <c r="AQ1" t="s">
        <v>115</v>
      </c>
      <c r="AR1" t="s">
        <v>116</v>
      </c>
      <c r="AS1" t="s">
        <v>208</v>
      </c>
      <c r="AT1" t="s">
        <v>123</v>
      </c>
      <c r="AU1" t="s">
        <v>209</v>
      </c>
    </row>
    <row r="2" spans="1:47" x14ac:dyDescent="0.35">
      <c r="A2" t="s">
        <v>108</v>
      </c>
      <c r="B2" t="s">
        <v>210</v>
      </c>
      <c r="C2" t="s">
        <v>14</v>
      </c>
      <c r="D2">
        <v>425892</v>
      </c>
      <c r="E2" t="s">
        <v>212</v>
      </c>
      <c r="F2">
        <v>1</v>
      </c>
      <c r="G2" t="s">
        <v>155</v>
      </c>
      <c r="H2" s="67">
        <v>46169.398032407407</v>
      </c>
      <c r="I2">
        <v>31389386</v>
      </c>
      <c r="J2" t="s">
        <v>120</v>
      </c>
      <c r="K2" t="s">
        <v>20</v>
      </c>
      <c r="L2" t="s">
        <v>20</v>
      </c>
      <c r="M2" t="s">
        <v>20</v>
      </c>
      <c r="N2" t="s">
        <v>20</v>
      </c>
      <c r="O2" t="s">
        <v>20</v>
      </c>
      <c r="P2" t="s">
        <v>164</v>
      </c>
      <c r="Q2" t="s">
        <v>20</v>
      </c>
      <c r="R2" t="s">
        <v>20</v>
      </c>
      <c r="S2" t="s">
        <v>164</v>
      </c>
      <c r="T2" t="s">
        <v>164</v>
      </c>
      <c r="U2" t="s">
        <v>164</v>
      </c>
      <c r="V2" t="s">
        <v>164</v>
      </c>
      <c r="W2" t="s">
        <v>20</v>
      </c>
      <c r="X2" t="s">
        <v>20</v>
      </c>
      <c r="Y2" t="s">
        <v>20</v>
      </c>
      <c r="Z2" t="s">
        <v>20</v>
      </c>
      <c r="AA2" t="s">
        <v>20</v>
      </c>
      <c r="AB2" t="s">
        <v>20</v>
      </c>
      <c r="AC2" t="s">
        <v>20</v>
      </c>
      <c r="AD2" t="s">
        <v>20</v>
      </c>
      <c r="AE2" t="s">
        <v>20</v>
      </c>
      <c r="AF2" t="s">
        <v>20</v>
      </c>
      <c r="AG2" t="s">
        <v>20</v>
      </c>
      <c r="AH2" t="s">
        <v>207</v>
      </c>
      <c r="AN2" t="s">
        <v>164</v>
      </c>
      <c r="AO2" t="s">
        <v>261</v>
      </c>
      <c r="AP2" t="s">
        <v>20</v>
      </c>
      <c r="AQ2" t="s">
        <v>20</v>
      </c>
      <c r="AR2" t="s">
        <v>20</v>
      </c>
      <c r="AS2" t="s">
        <v>20</v>
      </c>
      <c r="AT2" t="s">
        <v>20</v>
      </c>
      <c r="AU2" t="s">
        <v>20</v>
      </c>
    </row>
    <row r="3" spans="1:47" x14ac:dyDescent="0.35">
      <c r="A3" t="s">
        <v>108</v>
      </c>
      <c r="B3" t="s">
        <v>8</v>
      </c>
      <c r="C3" t="s">
        <v>14</v>
      </c>
      <c r="D3">
        <v>555967</v>
      </c>
      <c r="E3" t="s">
        <v>201</v>
      </c>
      <c r="F3">
        <v>1</v>
      </c>
      <c r="G3" t="s">
        <v>155</v>
      </c>
      <c r="H3" s="67">
        <v>46165</v>
      </c>
      <c r="I3">
        <v>31379123</v>
      </c>
      <c r="J3" t="s">
        <v>130</v>
      </c>
      <c r="K3" t="s">
        <v>20</v>
      </c>
      <c r="L3" t="s">
        <v>20</v>
      </c>
      <c r="M3" t="s">
        <v>20</v>
      </c>
      <c r="N3" t="s">
        <v>20</v>
      </c>
      <c r="O3" t="s">
        <v>20</v>
      </c>
      <c r="P3" t="s">
        <v>164</v>
      </c>
      <c r="Q3" t="s">
        <v>20</v>
      </c>
      <c r="R3" t="s">
        <v>20</v>
      </c>
      <c r="S3" t="s">
        <v>164</v>
      </c>
      <c r="T3" t="s">
        <v>164</v>
      </c>
      <c r="U3" t="s">
        <v>164</v>
      </c>
      <c r="V3" t="s">
        <v>164</v>
      </c>
      <c r="W3" t="s">
        <v>20</v>
      </c>
      <c r="X3" t="s">
        <v>20</v>
      </c>
      <c r="Y3" t="s">
        <v>20</v>
      </c>
      <c r="Z3" t="s">
        <v>20</v>
      </c>
      <c r="AA3" t="s">
        <v>20</v>
      </c>
      <c r="AB3" t="s">
        <v>20</v>
      </c>
      <c r="AC3" t="s">
        <v>20</v>
      </c>
      <c r="AD3" t="s">
        <v>20</v>
      </c>
      <c r="AE3" t="s">
        <v>20</v>
      </c>
      <c r="AF3" t="s">
        <v>20</v>
      </c>
      <c r="AG3" t="s">
        <v>20</v>
      </c>
      <c r="AH3" t="s">
        <v>207</v>
      </c>
      <c r="AN3" t="s">
        <v>164</v>
      </c>
      <c r="AO3" t="s">
        <v>262</v>
      </c>
      <c r="AP3" t="s">
        <v>20</v>
      </c>
      <c r="AQ3" t="s">
        <v>20</v>
      </c>
      <c r="AR3" t="s">
        <v>20</v>
      </c>
      <c r="AS3" t="s">
        <v>20</v>
      </c>
      <c r="AT3" t="s">
        <v>20</v>
      </c>
      <c r="AU3" t="s">
        <v>20</v>
      </c>
    </row>
    <row r="4" spans="1:47" x14ac:dyDescent="0.35">
      <c r="A4" t="s">
        <v>108</v>
      </c>
      <c r="B4" t="s">
        <v>8</v>
      </c>
      <c r="C4" t="s">
        <v>43</v>
      </c>
      <c r="D4">
        <v>103263</v>
      </c>
      <c r="E4" t="s">
        <v>249</v>
      </c>
      <c r="F4">
        <v>1</v>
      </c>
      <c r="G4" t="s">
        <v>155</v>
      </c>
      <c r="H4" s="67">
        <v>46172</v>
      </c>
      <c r="I4">
        <v>31465725</v>
      </c>
      <c r="J4" t="s">
        <v>130</v>
      </c>
      <c r="K4" t="s">
        <v>164</v>
      </c>
      <c r="AN4" t="s">
        <v>20</v>
      </c>
      <c r="AO4" t="s">
        <v>254</v>
      </c>
    </row>
    <row r="5" spans="1:47" x14ac:dyDescent="0.35">
      <c r="A5" t="s">
        <v>108</v>
      </c>
      <c r="B5" t="s">
        <v>111</v>
      </c>
      <c r="C5" t="s">
        <v>43</v>
      </c>
      <c r="D5">
        <v>127058</v>
      </c>
      <c r="E5" t="s">
        <v>154</v>
      </c>
      <c r="F5">
        <v>1</v>
      </c>
      <c r="G5" t="s">
        <v>155</v>
      </c>
      <c r="H5" s="67">
        <v>46163.571608796294</v>
      </c>
      <c r="I5">
        <v>31364497</v>
      </c>
      <c r="J5" t="s">
        <v>133</v>
      </c>
      <c r="K5" t="s">
        <v>20</v>
      </c>
      <c r="L5" t="s">
        <v>20</v>
      </c>
      <c r="M5" t="s">
        <v>20</v>
      </c>
      <c r="N5" t="s">
        <v>20</v>
      </c>
      <c r="O5" t="s">
        <v>20</v>
      </c>
      <c r="P5" t="s">
        <v>164</v>
      </c>
      <c r="Q5" t="s">
        <v>20</v>
      </c>
      <c r="R5" t="s">
        <v>20</v>
      </c>
      <c r="S5" t="s">
        <v>164</v>
      </c>
      <c r="T5" t="s">
        <v>164</v>
      </c>
      <c r="U5" t="s">
        <v>164</v>
      </c>
      <c r="V5" t="s">
        <v>164</v>
      </c>
      <c r="W5" t="s">
        <v>20</v>
      </c>
      <c r="X5" t="s">
        <v>20</v>
      </c>
      <c r="Y5" t="s">
        <v>20</v>
      </c>
      <c r="Z5" t="s">
        <v>20</v>
      </c>
      <c r="AA5" t="s">
        <v>20</v>
      </c>
      <c r="AB5" t="s">
        <v>20</v>
      </c>
      <c r="AC5" t="s">
        <v>20</v>
      </c>
      <c r="AD5" t="s">
        <v>20</v>
      </c>
      <c r="AE5" t="s">
        <v>20</v>
      </c>
      <c r="AF5" t="s">
        <v>20</v>
      </c>
      <c r="AG5" t="s">
        <v>20</v>
      </c>
      <c r="AH5" t="s">
        <v>187</v>
      </c>
      <c r="AI5" t="s">
        <v>20</v>
      </c>
      <c r="AJ5" t="s">
        <v>20</v>
      </c>
      <c r="AK5" t="s">
        <v>20</v>
      </c>
      <c r="AL5" t="s">
        <v>20</v>
      </c>
      <c r="AM5" t="s">
        <v>20</v>
      </c>
      <c r="AN5" t="s">
        <v>164</v>
      </c>
      <c r="AO5" t="s">
        <v>197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6724B1-EB2D-4C25-9AAD-4F1C0994C034}">
  <sheetPr codeName="Hoja6"/>
  <dimension ref="A1:AC99"/>
  <sheetViews>
    <sheetView topLeftCell="K1" zoomScale="70" zoomScaleNormal="70" workbookViewId="0">
      <selection activeCell="O1" sqref="O1"/>
    </sheetView>
  </sheetViews>
  <sheetFormatPr baseColWidth="10" defaultColWidth="11.453125" defaultRowHeight="14.5" x14ac:dyDescent="0.35"/>
  <cols>
    <col min="1" max="1" width="15.26953125" customWidth="1"/>
    <col min="2" max="2" width="11.453125" customWidth="1"/>
    <col min="4" max="5" width="11.453125" customWidth="1"/>
    <col min="6" max="6" width="13.1796875" customWidth="1"/>
    <col min="7" max="7" width="11.453125" style="2" customWidth="1"/>
    <col min="8" max="8" width="11.453125" customWidth="1"/>
    <col min="9" max="9" width="13.54296875" style="31" customWidth="1"/>
    <col min="10" max="10" width="32.453125" style="2" customWidth="1"/>
    <col min="11" max="11" width="13.453125" customWidth="1"/>
    <col min="12" max="12" width="29.1796875" customWidth="1"/>
    <col min="13" max="13" width="9.1796875" style="2" customWidth="1"/>
    <col min="14" max="14" width="32.1796875" customWidth="1"/>
    <col min="15" max="15" width="98.90625" customWidth="1"/>
    <col min="16" max="16" width="30.26953125" customWidth="1"/>
    <col min="17" max="17" width="14.54296875" customWidth="1"/>
    <col min="18" max="18" width="15" customWidth="1"/>
    <col min="19" max="19" width="18.7265625" style="33" customWidth="1"/>
    <col min="20" max="20" width="18.26953125" style="2" customWidth="1"/>
    <col min="21" max="21" width="24.453125" style="2" customWidth="1"/>
    <col min="22" max="22" width="14.54296875" style="2" customWidth="1"/>
    <col min="23" max="23" width="11.453125" style="2"/>
    <col min="24" max="24" width="20" style="2" customWidth="1"/>
    <col min="25" max="25" width="20.453125" style="2" customWidth="1"/>
    <col min="26" max="26" width="18.1796875" style="2" customWidth="1"/>
    <col min="27" max="27" width="11.453125" style="2"/>
    <col min="28" max="28" width="21.54296875" style="2" customWidth="1"/>
    <col min="29" max="29" width="21.81640625" style="2" customWidth="1"/>
  </cols>
  <sheetData>
    <row r="1" spans="1:29" x14ac:dyDescent="0.35">
      <c r="A1" t="s">
        <v>24</v>
      </c>
      <c r="B1" t="s">
        <v>45</v>
      </c>
      <c r="C1" t="s">
        <v>1</v>
      </c>
      <c r="D1" t="s">
        <v>22</v>
      </c>
      <c r="E1" t="s">
        <v>25</v>
      </c>
      <c r="F1" t="s">
        <v>46</v>
      </c>
      <c r="G1" s="2" t="s">
        <v>47</v>
      </c>
      <c r="H1" t="s">
        <v>48</v>
      </c>
      <c r="I1" s="31" t="s">
        <v>26</v>
      </c>
      <c r="J1" s="2" t="s">
        <v>23</v>
      </c>
      <c r="K1" t="s">
        <v>49</v>
      </c>
      <c r="L1" t="s">
        <v>50</v>
      </c>
      <c r="M1" s="2" t="s">
        <v>51</v>
      </c>
      <c r="N1" t="s">
        <v>52</v>
      </c>
      <c r="O1" t="s">
        <v>27</v>
      </c>
      <c r="P1" t="s">
        <v>53</v>
      </c>
      <c r="Q1" t="s">
        <v>54</v>
      </c>
      <c r="R1" t="s">
        <v>55</v>
      </c>
      <c r="S1" s="33" t="s">
        <v>29</v>
      </c>
      <c r="T1" s="2" t="s">
        <v>56</v>
      </c>
      <c r="U1" s="2" t="s">
        <v>57</v>
      </c>
      <c r="V1" s="2" t="s">
        <v>30</v>
      </c>
      <c r="W1" s="2" t="s">
        <v>58</v>
      </c>
      <c r="X1" s="2" t="s">
        <v>59</v>
      </c>
      <c r="Y1" s="2" t="s">
        <v>60</v>
      </c>
      <c r="Z1" s="2" t="s">
        <v>61</v>
      </c>
      <c r="AA1" s="2" t="s">
        <v>31</v>
      </c>
      <c r="AB1" s="2" t="s">
        <v>62</v>
      </c>
      <c r="AC1" s="2" t="s">
        <v>63</v>
      </c>
    </row>
    <row r="2" spans="1:29" x14ac:dyDescent="0.35">
      <c r="A2" t="s">
        <v>108</v>
      </c>
      <c r="B2" t="s">
        <v>110</v>
      </c>
      <c r="C2" t="s">
        <v>111</v>
      </c>
      <c r="D2" t="s">
        <v>43</v>
      </c>
      <c r="E2" t="s">
        <v>43</v>
      </c>
      <c r="F2" t="s">
        <v>43</v>
      </c>
      <c r="G2" s="2" t="s">
        <v>111</v>
      </c>
      <c r="H2">
        <v>127058</v>
      </c>
      <c r="I2" s="31" t="s">
        <v>153</v>
      </c>
      <c r="J2" s="2" t="s">
        <v>154</v>
      </c>
      <c r="K2" t="s">
        <v>109</v>
      </c>
      <c r="L2" t="s">
        <v>131</v>
      </c>
      <c r="M2" s="2" t="s">
        <v>78</v>
      </c>
      <c r="N2" t="s">
        <v>155</v>
      </c>
      <c r="O2" t="s">
        <v>87</v>
      </c>
      <c r="P2" s="2" t="s">
        <v>20</v>
      </c>
      <c r="Q2" t="s">
        <v>64</v>
      </c>
      <c r="R2" t="s">
        <v>64</v>
      </c>
      <c r="S2" s="68" t="s">
        <v>156</v>
      </c>
      <c r="T2" t="s">
        <v>157</v>
      </c>
      <c r="U2" t="s">
        <v>158</v>
      </c>
      <c r="V2" s="2" t="s">
        <v>159</v>
      </c>
      <c r="W2" s="2" t="s">
        <v>65</v>
      </c>
      <c r="Z2" s="2" t="s">
        <v>132</v>
      </c>
      <c r="AA2" s="2" t="s">
        <v>133</v>
      </c>
      <c r="AB2" s="2" t="s">
        <v>134</v>
      </c>
      <c r="AC2" s="2" t="s">
        <v>135</v>
      </c>
    </row>
    <row r="3" spans="1:29" x14ac:dyDescent="0.35">
      <c r="A3" t="s">
        <v>108</v>
      </c>
      <c r="B3" t="s">
        <v>110</v>
      </c>
      <c r="C3" t="s">
        <v>111</v>
      </c>
      <c r="D3" t="s">
        <v>43</v>
      </c>
      <c r="E3" t="s">
        <v>43</v>
      </c>
      <c r="F3" t="s">
        <v>43</v>
      </c>
      <c r="G3" s="2" t="s">
        <v>111</v>
      </c>
      <c r="H3">
        <v>127058</v>
      </c>
      <c r="I3" s="31" t="s">
        <v>153</v>
      </c>
      <c r="J3" s="2" t="s">
        <v>154</v>
      </c>
      <c r="K3" t="s">
        <v>109</v>
      </c>
      <c r="L3" t="s">
        <v>131</v>
      </c>
      <c r="M3" s="2" t="s">
        <v>78</v>
      </c>
      <c r="N3" t="s">
        <v>155</v>
      </c>
      <c r="O3" t="s">
        <v>88</v>
      </c>
      <c r="P3" s="2" t="s">
        <v>20</v>
      </c>
      <c r="Q3" t="s">
        <v>64</v>
      </c>
      <c r="R3" t="s">
        <v>64</v>
      </c>
      <c r="S3" s="68" t="s">
        <v>156</v>
      </c>
      <c r="T3" t="s">
        <v>157</v>
      </c>
      <c r="U3" t="s">
        <v>160</v>
      </c>
      <c r="V3" s="2" t="s">
        <v>159</v>
      </c>
      <c r="W3" s="2" t="s">
        <v>65</v>
      </c>
      <c r="Z3" s="2" t="s">
        <v>132</v>
      </c>
      <c r="AA3" s="2" t="s">
        <v>133</v>
      </c>
      <c r="AB3" s="2" t="s">
        <v>134</v>
      </c>
      <c r="AC3" s="2" t="s">
        <v>135</v>
      </c>
    </row>
    <row r="4" spans="1:29" x14ac:dyDescent="0.35">
      <c r="A4" t="s">
        <v>108</v>
      </c>
      <c r="B4" t="s">
        <v>110</v>
      </c>
      <c r="C4" t="s">
        <v>111</v>
      </c>
      <c r="D4" t="s">
        <v>43</v>
      </c>
      <c r="E4" t="s">
        <v>43</v>
      </c>
      <c r="F4" t="s">
        <v>43</v>
      </c>
      <c r="G4" s="2" t="s">
        <v>111</v>
      </c>
      <c r="H4">
        <v>127058</v>
      </c>
      <c r="I4" s="31" t="s">
        <v>153</v>
      </c>
      <c r="J4" s="2" t="s">
        <v>154</v>
      </c>
      <c r="K4" t="s">
        <v>109</v>
      </c>
      <c r="L4" t="s">
        <v>131</v>
      </c>
      <c r="M4" s="2" t="s">
        <v>78</v>
      </c>
      <c r="N4" t="s">
        <v>155</v>
      </c>
      <c r="O4" t="s">
        <v>89</v>
      </c>
      <c r="P4" s="2" t="s">
        <v>20</v>
      </c>
      <c r="Q4" t="s">
        <v>64</v>
      </c>
      <c r="R4" t="s">
        <v>64</v>
      </c>
      <c r="S4" s="68" t="s">
        <v>156</v>
      </c>
      <c r="T4" t="s">
        <v>157</v>
      </c>
      <c r="U4" t="s">
        <v>161</v>
      </c>
      <c r="V4" s="2" t="s">
        <v>159</v>
      </c>
      <c r="W4" s="2" t="s">
        <v>65</v>
      </c>
      <c r="Z4" s="2" t="s">
        <v>132</v>
      </c>
      <c r="AA4" s="2" t="s">
        <v>133</v>
      </c>
      <c r="AB4" s="2" t="s">
        <v>134</v>
      </c>
      <c r="AC4" s="2" t="s">
        <v>135</v>
      </c>
    </row>
    <row r="5" spans="1:29" x14ac:dyDescent="0.35">
      <c r="A5" t="s">
        <v>108</v>
      </c>
      <c r="B5" t="s">
        <v>110</v>
      </c>
      <c r="C5" t="s">
        <v>111</v>
      </c>
      <c r="D5" t="s">
        <v>43</v>
      </c>
      <c r="E5" t="s">
        <v>43</v>
      </c>
      <c r="F5" t="s">
        <v>43</v>
      </c>
      <c r="G5" s="2" t="s">
        <v>111</v>
      </c>
      <c r="H5">
        <v>127058</v>
      </c>
      <c r="I5" s="31" t="s">
        <v>153</v>
      </c>
      <c r="J5" s="2" t="s">
        <v>154</v>
      </c>
      <c r="K5" t="s">
        <v>109</v>
      </c>
      <c r="L5" t="s">
        <v>131</v>
      </c>
      <c r="M5" s="2" t="s">
        <v>78</v>
      </c>
      <c r="N5" t="s">
        <v>155</v>
      </c>
      <c r="O5" t="s">
        <v>90</v>
      </c>
      <c r="P5" s="2" t="s">
        <v>20</v>
      </c>
      <c r="Q5" t="s">
        <v>64</v>
      </c>
      <c r="R5" t="s">
        <v>64</v>
      </c>
      <c r="S5" s="68" t="s">
        <v>156</v>
      </c>
      <c r="T5" t="s">
        <v>157</v>
      </c>
      <c r="U5" t="s">
        <v>162</v>
      </c>
      <c r="V5" s="2" t="s">
        <v>159</v>
      </c>
      <c r="W5" s="2" t="s">
        <v>65</v>
      </c>
      <c r="Z5" s="2" t="s">
        <v>132</v>
      </c>
      <c r="AA5" s="2" t="s">
        <v>133</v>
      </c>
      <c r="AB5" s="2" t="s">
        <v>134</v>
      </c>
      <c r="AC5" s="2" t="s">
        <v>135</v>
      </c>
    </row>
    <row r="6" spans="1:29" x14ac:dyDescent="0.35">
      <c r="A6" t="s">
        <v>108</v>
      </c>
      <c r="B6" t="s">
        <v>110</v>
      </c>
      <c r="C6" t="s">
        <v>111</v>
      </c>
      <c r="D6" t="s">
        <v>43</v>
      </c>
      <c r="E6" t="s">
        <v>43</v>
      </c>
      <c r="F6" t="s">
        <v>43</v>
      </c>
      <c r="G6" s="2" t="s">
        <v>111</v>
      </c>
      <c r="H6">
        <v>127058</v>
      </c>
      <c r="I6" s="31" t="s">
        <v>153</v>
      </c>
      <c r="J6" s="2" t="s">
        <v>154</v>
      </c>
      <c r="K6" t="s">
        <v>109</v>
      </c>
      <c r="L6" t="s">
        <v>131</v>
      </c>
      <c r="M6" s="2" t="s">
        <v>78</v>
      </c>
      <c r="N6" t="s">
        <v>155</v>
      </c>
      <c r="O6" t="s">
        <v>35</v>
      </c>
      <c r="P6" s="2" t="s">
        <v>20</v>
      </c>
      <c r="Q6" t="s">
        <v>64</v>
      </c>
      <c r="R6" t="s">
        <v>64</v>
      </c>
      <c r="S6" s="68" t="s">
        <v>156</v>
      </c>
      <c r="T6" t="s">
        <v>157</v>
      </c>
      <c r="U6" t="s">
        <v>163</v>
      </c>
      <c r="V6" s="2" t="s">
        <v>159</v>
      </c>
      <c r="W6" s="2" t="s">
        <v>65</v>
      </c>
      <c r="Z6" s="2" t="s">
        <v>132</v>
      </c>
      <c r="AA6" s="2" t="s">
        <v>133</v>
      </c>
      <c r="AB6" s="2" t="s">
        <v>134</v>
      </c>
      <c r="AC6" s="2" t="s">
        <v>135</v>
      </c>
    </row>
    <row r="7" spans="1:29" x14ac:dyDescent="0.35">
      <c r="A7" t="s">
        <v>108</v>
      </c>
      <c r="B7" t="s">
        <v>110</v>
      </c>
      <c r="C7" t="s">
        <v>111</v>
      </c>
      <c r="D7" t="s">
        <v>43</v>
      </c>
      <c r="E7" t="s">
        <v>43</v>
      </c>
      <c r="F7" t="s">
        <v>43</v>
      </c>
      <c r="G7" s="2" t="s">
        <v>111</v>
      </c>
      <c r="H7">
        <v>127058</v>
      </c>
      <c r="I7" s="31" t="s">
        <v>153</v>
      </c>
      <c r="J7" s="2" t="s">
        <v>154</v>
      </c>
      <c r="K7" t="s">
        <v>109</v>
      </c>
      <c r="L7" t="s">
        <v>131</v>
      </c>
      <c r="M7" s="2" t="s">
        <v>78</v>
      </c>
      <c r="N7" t="s">
        <v>155</v>
      </c>
      <c r="O7" t="s">
        <v>91</v>
      </c>
      <c r="P7" s="2" t="s">
        <v>164</v>
      </c>
      <c r="Q7" t="s">
        <v>64</v>
      </c>
      <c r="R7" t="s">
        <v>64</v>
      </c>
      <c r="S7" s="68" t="s">
        <v>156</v>
      </c>
      <c r="T7" t="s">
        <v>157</v>
      </c>
      <c r="U7" t="s">
        <v>165</v>
      </c>
      <c r="V7" s="2" t="s">
        <v>159</v>
      </c>
      <c r="W7" s="2" t="s">
        <v>65</v>
      </c>
      <c r="Z7" s="2" t="s">
        <v>132</v>
      </c>
      <c r="AA7" s="2" t="s">
        <v>133</v>
      </c>
      <c r="AB7" s="2" t="s">
        <v>134</v>
      </c>
      <c r="AC7" s="2" t="s">
        <v>135</v>
      </c>
    </row>
    <row r="8" spans="1:29" x14ac:dyDescent="0.35">
      <c r="A8" t="s">
        <v>108</v>
      </c>
      <c r="B8" t="s">
        <v>110</v>
      </c>
      <c r="C8" t="s">
        <v>111</v>
      </c>
      <c r="D8" t="s">
        <v>43</v>
      </c>
      <c r="E8" t="s">
        <v>43</v>
      </c>
      <c r="F8" t="s">
        <v>43</v>
      </c>
      <c r="G8" s="2" t="s">
        <v>111</v>
      </c>
      <c r="H8">
        <v>127058</v>
      </c>
      <c r="I8" s="31" t="s">
        <v>153</v>
      </c>
      <c r="J8" s="2" t="s">
        <v>154</v>
      </c>
      <c r="K8" t="s">
        <v>109</v>
      </c>
      <c r="L8" t="s">
        <v>131</v>
      </c>
      <c r="M8" s="2" t="s">
        <v>78</v>
      </c>
      <c r="N8" t="s">
        <v>155</v>
      </c>
      <c r="O8" t="s">
        <v>92</v>
      </c>
      <c r="P8" s="2" t="s">
        <v>20</v>
      </c>
      <c r="Q8" t="s">
        <v>64</v>
      </c>
      <c r="R8" t="s">
        <v>64</v>
      </c>
      <c r="S8" s="68" t="s">
        <v>156</v>
      </c>
      <c r="T8" t="s">
        <v>157</v>
      </c>
      <c r="U8" t="s">
        <v>166</v>
      </c>
      <c r="V8" s="2" t="s">
        <v>159</v>
      </c>
      <c r="W8" s="2" t="s">
        <v>65</v>
      </c>
      <c r="Z8" s="2" t="s">
        <v>132</v>
      </c>
      <c r="AA8" s="2" t="s">
        <v>133</v>
      </c>
      <c r="AB8" s="2" t="s">
        <v>134</v>
      </c>
      <c r="AC8" s="2" t="s">
        <v>135</v>
      </c>
    </row>
    <row r="9" spans="1:29" x14ac:dyDescent="0.35">
      <c r="A9" t="s">
        <v>108</v>
      </c>
      <c r="B9" t="s">
        <v>110</v>
      </c>
      <c r="C9" t="s">
        <v>111</v>
      </c>
      <c r="D9" t="s">
        <v>43</v>
      </c>
      <c r="E9" t="s">
        <v>43</v>
      </c>
      <c r="F9" t="s">
        <v>43</v>
      </c>
      <c r="G9" s="2" t="s">
        <v>111</v>
      </c>
      <c r="H9">
        <v>127058</v>
      </c>
      <c r="I9" s="31" t="s">
        <v>153</v>
      </c>
      <c r="J9" s="2" t="s">
        <v>154</v>
      </c>
      <c r="K9" t="s">
        <v>109</v>
      </c>
      <c r="L9" t="s">
        <v>131</v>
      </c>
      <c r="M9" s="2" t="s">
        <v>78</v>
      </c>
      <c r="N9" t="s">
        <v>155</v>
      </c>
      <c r="O9" t="s">
        <v>93</v>
      </c>
      <c r="P9" s="2" t="s">
        <v>20</v>
      </c>
      <c r="Q9" t="s">
        <v>64</v>
      </c>
      <c r="R9" t="s">
        <v>64</v>
      </c>
      <c r="S9" s="68" t="s">
        <v>156</v>
      </c>
      <c r="T9" t="s">
        <v>157</v>
      </c>
      <c r="U9" t="s">
        <v>167</v>
      </c>
      <c r="V9" s="2" t="s">
        <v>159</v>
      </c>
      <c r="W9" s="2" t="s">
        <v>65</v>
      </c>
      <c r="Z9" s="2" t="s">
        <v>132</v>
      </c>
      <c r="AA9" s="2" t="s">
        <v>133</v>
      </c>
      <c r="AB9" s="2" t="s">
        <v>134</v>
      </c>
      <c r="AC9" s="2" t="s">
        <v>135</v>
      </c>
    </row>
    <row r="10" spans="1:29" x14ac:dyDescent="0.35">
      <c r="A10" t="s">
        <v>108</v>
      </c>
      <c r="B10" t="s">
        <v>110</v>
      </c>
      <c r="C10" t="s">
        <v>111</v>
      </c>
      <c r="D10" t="s">
        <v>43</v>
      </c>
      <c r="E10" t="s">
        <v>43</v>
      </c>
      <c r="F10" t="s">
        <v>43</v>
      </c>
      <c r="G10" s="2" t="s">
        <v>111</v>
      </c>
      <c r="H10">
        <v>127058</v>
      </c>
      <c r="I10" s="31" t="s">
        <v>153</v>
      </c>
      <c r="J10" s="2" t="s">
        <v>154</v>
      </c>
      <c r="K10" t="s">
        <v>109</v>
      </c>
      <c r="L10" t="s">
        <v>131</v>
      </c>
      <c r="M10" s="2" t="s">
        <v>78</v>
      </c>
      <c r="N10" t="s">
        <v>155</v>
      </c>
      <c r="O10" t="s">
        <v>94</v>
      </c>
      <c r="P10" s="2" t="s">
        <v>164</v>
      </c>
      <c r="Q10" t="s">
        <v>64</v>
      </c>
      <c r="R10" t="s">
        <v>64</v>
      </c>
      <c r="S10" s="68" t="s">
        <v>156</v>
      </c>
      <c r="T10" t="s">
        <v>157</v>
      </c>
      <c r="U10" t="s">
        <v>168</v>
      </c>
      <c r="V10" s="2" t="s">
        <v>159</v>
      </c>
      <c r="W10" s="2" t="s">
        <v>65</v>
      </c>
      <c r="Z10" s="2" t="s">
        <v>132</v>
      </c>
      <c r="AA10" s="2" t="s">
        <v>133</v>
      </c>
      <c r="AB10" s="2" t="s">
        <v>134</v>
      </c>
      <c r="AC10" s="2" t="s">
        <v>135</v>
      </c>
    </row>
    <row r="11" spans="1:29" x14ac:dyDescent="0.35">
      <c r="A11" t="s">
        <v>108</v>
      </c>
      <c r="B11" t="s">
        <v>110</v>
      </c>
      <c r="C11" t="s">
        <v>111</v>
      </c>
      <c r="D11" t="s">
        <v>43</v>
      </c>
      <c r="E11" t="s">
        <v>43</v>
      </c>
      <c r="F11" t="s">
        <v>43</v>
      </c>
      <c r="G11" s="2" t="s">
        <v>111</v>
      </c>
      <c r="H11">
        <v>127058</v>
      </c>
      <c r="I11" s="31" t="s">
        <v>153</v>
      </c>
      <c r="J11" s="2" t="s">
        <v>154</v>
      </c>
      <c r="K11" t="s">
        <v>109</v>
      </c>
      <c r="L11" t="s">
        <v>131</v>
      </c>
      <c r="M11" s="2" t="s">
        <v>78</v>
      </c>
      <c r="N11" t="s">
        <v>155</v>
      </c>
      <c r="O11" t="s">
        <v>95</v>
      </c>
      <c r="P11" s="2" t="s">
        <v>164</v>
      </c>
      <c r="Q11" t="s">
        <v>64</v>
      </c>
      <c r="R11" t="s">
        <v>64</v>
      </c>
      <c r="S11" s="68" t="s">
        <v>156</v>
      </c>
      <c r="T11" t="s">
        <v>157</v>
      </c>
      <c r="U11" t="s">
        <v>169</v>
      </c>
      <c r="V11" s="2" t="s">
        <v>159</v>
      </c>
      <c r="W11" s="2" t="s">
        <v>65</v>
      </c>
      <c r="Z11" s="2" t="s">
        <v>132</v>
      </c>
      <c r="AA11" s="2" t="s">
        <v>133</v>
      </c>
      <c r="AB11" s="2" t="s">
        <v>134</v>
      </c>
      <c r="AC11" s="2" t="s">
        <v>135</v>
      </c>
    </row>
    <row r="12" spans="1:29" x14ac:dyDescent="0.35">
      <c r="A12" t="s">
        <v>108</v>
      </c>
      <c r="B12" t="s">
        <v>110</v>
      </c>
      <c r="C12" t="s">
        <v>111</v>
      </c>
      <c r="D12" t="s">
        <v>43</v>
      </c>
      <c r="E12" t="s">
        <v>43</v>
      </c>
      <c r="F12" t="s">
        <v>43</v>
      </c>
      <c r="G12" s="2" t="s">
        <v>111</v>
      </c>
      <c r="H12">
        <v>127058</v>
      </c>
      <c r="I12" s="31" t="s">
        <v>153</v>
      </c>
      <c r="J12" s="2" t="s">
        <v>154</v>
      </c>
      <c r="K12" t="s">
        <v>109</v>
      </c>
      <c r="L12" t="s">
        <v>131</v>
      </c>
      <c r="M12" s="2" t="s">
        <v>78</v>
      </c>
      <c r="N12" t="s">
        <v>155</v>
      </c>
      <c r="O12" t="s">
        <v>96</v>
      </c>
      <c r="P12" s="2" t="s">
        <v>164</v>
      </c>
      <c r="Q12" t="s">
        <v>64</v>
      </c>
      <c r="R12" t="s">
        <v>64</v>
      </c>
      <c r="S12" s="68" t="s">
        <v>156</v>
      </c>
      <c r="T12" t="s">
        <v>157</v>
      </c>
      <c r="U12" t="s">
        <v>170</v>
      </c>
      <c r="V12" s="2" t="s">
        <v>159</v>
      </c>
      <c r="W12" s="2" t="s">
        <v>65</v>
      </c>
      <c r="Z12" s="2" t="s">
        <v>132</v>
      </c>
      <c r="AA12" s="2" t="s">
        <v>133</v>
      </c>
      <c r="AB12" s="2" t="s">
        <v>134</v>
      </c>
      <c r="AC12" s="2" t="s">
        <v>135</v>
      </c>
    </row>
    <row r="13" spans="1:29" x14ac:dyDescent="0.35">
      <c r="A13" t="s">
        <v>108</v>
      </c>
      <c r="B13" t="s">
        <v>110</v>
      </c>
      <c r="C13" t="s">
        <v>111</v>
      </c>
      <c r="D13" t="s">
        <v>43</v>
      </c>
      <c r="E13" t="s">
        <v>43</v>
      </c>
      <c r="F13" t="s">
        <v>43</v>
      </c>
      <c r="G13" s="2" t="s">
        <v>111</v>
      </c>
      <c r="H13">
        <v>127058</v>
      </c>
      <c r="I13" s="31" t="s">
        <v>153</v>
      </c>
      <c r="J13" s="2" t="s">
        <v>154</v>
      </c>
      <c r="K13" t="s">
        <v>109</v>
      </c>
      <c r="L13" t="s">
        <v>131</v>
      </c>
      <c r="M13" s="2" t="s">
        <v>78</v>
      </c>
      <c r="N13" t="s">
        <v>155</v>
      </c>
      <c r="O13" t="s">
        <v>97</v>
      </c>
      <c r="P13" s="2" t="s">
        <v>164</v>
      </c>
      <c r="Q13" t="s">
        <v>64</v>
      </c>
      <c r="R13" t="s">
        <v>64</v>
      </c>
      <c r="S13" s="68" t="s">
        <v>156</v>
      </c>
      <c r="T13" t="s">
        <v>157</v>
      </c>
      <c r="U13" t="s">
        <v>171</v>
      </c>
      <c r="V13" s="2" t="s">
        <v>159</v>
      </c>
      <c r="W13" s="2" t="s">
        <v>65</v>
      </c>
      <c r="Z13" s="2" t="s">
        <v>132</v>
      </c>
      <c r="AA13" s="2" t="s">
        <v>133</v>
      </c>
      <c r="AB13" s="2" t="s">
        <v>134</v>
      </c>
      <c r="AC13" s="2" t="s">
        <v>135</v>
      </c>
    </row>
    <row r="14" spans="1:29" x14ac:dyDescent="0.35">
      <c r="A14" t="s">
        <v>108</v>
      </c>
      <c r="B14" t="s">
        <v>110</v>
      </c>
      <c r="C14" t="s">
        <v>111</v>
      </c>
      <c r="D14" t="s">
        <v>43</v>
      </c>
      <c r="E14" t="s">
        <v>43</v>
      </c>
      <c r="F14" t="s">
        <v>43</v>
      </c>
      <c r="G14" s="2" t="s">
        <v>111</v>
      </c>
      <c r="H14">
        <v>127058</v>
      </c>
      <c r="I14" s="31" t="s">
        <v>153</v>
      </c>
      <c r="J14" s="2" t="s">
        <v>154</v>
      </c>
      <c r="K14" t="s">
        <v>109</v>
      </c>
      <c r="L14" t="s">
        <v>131</v>
      </c>
      <c r="M14" s="2" t="s">
        <v>78</v>
      </c>
      <c r="N14" t="s">
        <v>155</v>
      </c>
      <c r="O14" t="s">
        <v>125</v>
      </c>
      <c r="P14" s="2" t="s">
        <v>20</v>
      </c>
      <c r="Q14" t="s">
        <v>64</v>
      </c>
      <c r="R14" t="s">
        <v>64</v>
      </c>
      <c r="S14" s="68" t="s">
        <v>156</v>
      </c>
      <c r="T14" t="s">
        <v>157</v>
      </c>
      <c r="U14" t="s">
        <v>172</v>
      </c>
      <c r="V14" s="2" t="s">
        <v>159</v>
      </c>
      <c r="W14" s="2" t="s">
        <v>65</v>
      </c>
      <c r="Z14" s="2" t="s">
        <v>132</v>
      </c>
      <c r="AA14" s="2" t="s">
        <v>133</v>
      </c>
      <c r="AB14" s="2" t="s">
        <v>134</v>
      </c>
      <c r="AC14" s="2" t="s">
        <v>135</v>
      </c>
    </row>
    <row r="15" spans="1:29" x14ac:dyDescent="0.35">
      <c r="A15" t="s">
        <v>108</v>
      </c>
      <c r="B15" t="s">
        <v>110</v>
      </c>
      <c r="C15" t="s">
        <v>111</v>
      </c>
      <c r="D15" t="s">
        <v>43</v>
      </c>
      <c r="E15" t="s">
        <v>43</v>
      </c>
      <c r="F15" t="s">
        <v>43</v>
      </c>
      <c r="G15" s="2" t="s">
        <v>111</v>
      </c>
      <c r="H15">
        <v>127058</v>
      </c>
      <c r="I15" s="31" t="s">
        <v>153</v>
      </c>
      <c r="J15" s="2" t="s">
        <v>154</v>
      </c>
      <c r="K15" t="s">
        <v>109</v>
      </c>
      <c r="L15" t="s">
        <v>131</v>
      </c>
      <c r="M15" s="2" t="s">
        <v>78</v>
      </c>
      <c r="N15" t="s">
        <v>155</v>
      </c>
      <c r="O15" t="s">
        <v>126</v>
      </c>
      <c r="P15" s="2" t="s">
        <v>20</v>
      </c>
      <c r="Q15" t="s">
        <v>64</v>
      </c>
      <c r="R15" t="s">
        <v>64</v>
      </c>
      <c r="S15" s="68" t="s">
        <v>156</v>
      </c>
      <c r="T15" t="s">
        <v>157</v>
      </c>
      <c r="U15" t="s">
        <v>173</v>
      </c>
      <c r="V15" s="2" t="s">
        <v>159</v>
      </c>
      <c r="W15" s="2" t="s">
        <v>65</v>
      </c>
      <c r="Z15" s="2" t="s">
        <v>132</v>
      </c>
      <c r="AA15" s="2" t="s">
        <v>133</v>
      </c>
      <c r="AB15" s="2" t="s">
        <v>134</v>
      </c>
      <c r="AC15" s="2" t="s">
        <v>135</v>
      </c>
    </row>
    <row r="16" spans="1:29" x14ac:dyDescent="0.35">
      <c r="A16" t="s">
        <v>108</v>
      </c>
      <c r="B16" t="s">
        <v>110</v>
      </c>
      <c r="C16" t="s">
        <v>111</v>
      </c>
      <c r="D16" t="s">
        <v>43</v>
      </c>
      <c r="E16" t="s">
        <v>43</v>
      </c>
      <c r="F16" t="s">
        <v>43</v>
      </c>
      <c r="G16" s="2" t="s">
        <v>111</v>
      </c>
      <c r="H16">
        <v>127058</v>
      </c>
      <c r="I16" s="31" t="s">
        <v>153</v>
      </c>
      <c r="J16" s="2" t="s">
        <v>154</v>
      </c>
      <c r="K16" t="s">
        <v>109</v>
      </c>
      <c r="L16" t="s">
        <v>131</v>
      </c>
      <c r="M16" s="2" t="s">
        <v>78</v>
      </c>
      <c r="N16" t="s">
        <v>155</v>
      </c>
      <c r="O16" t="s">
        <v>98</v>
      </c>
      <c r="P16" s="2" t="s">
        <v>20</v>
      </c>
      <c r="Q16" t="s">
        <v>64</v>
      </c>
      <c r="R16" t="s">
        <v>64</v>
      </c>
      <c r="S16" s="68" t="s">
        <v>156</v>
      </c>
      <c r="T16" t="s">
        <v>157</v>
      </c>
      <c r="U16" t="s">
        <v>174</v>
      </c>
      <c r="V16" s="2" t="s">
        <v>159</v>
      </c>
      <c r="W16" s="2" t="s">
        <v>65</v>
      </c>
      <c r="Z16" s="2" t="s">
        <v>132</v>
      </c>
      <c r="AA16" s="2" t="s">
        <v>133</v>
      </c>
      <c r="AB16" s="2" t="s">
        <v>134</v>
      </c>
      <c r="AC16" s="2" t="s">
        <v>135</v>
      </c>
    </row>
    <row r="17" spans="1:29" x14ac:dyDescent="0.35">
      <c r="A17" t="s">
        <v>108</v>
      </c>
      <c r="B17" t="s">
        <v>110</v>
      </c>
      <c r="C17" t="s">
        <v>111</v>
      </c>
      <c r="D17" t="s">
        <v>43</v>
      </c>
      <c r="E17" t="s">
        <v>43</v>
      </c>
      <c r="F17" t="s">
        <v>43</v>
      </c>
      <c r="G17" s="2" t="s">
        <v>111</v>
      </c>
      <c r="H17">
        <v>127058</v>
      </c>
      <c r="I17" s="31" t="s">
        <v>153</v>
      </c>
      <c r="J17" s="2" t="s">
        <v>154</v>
      </c>
      <c r="K17" t="s">
        <v>109</v>
      </c>
      <c r="L17" t="s">
        <v>131</v>
      </c>
      <c r="M17" s="2" t="s">
        <v>78</v>
      </c>
      <c r="N17" t="s">
        <v>155</v>
      </c>
      <c r="O17" t="s">
        <v>99</v>
      </c>
      <c r="P17" s="2" t="s">
        <v>20</v>
      </c>
      <c r="Q17" t="s">
        <v>64</v>
      </c>
      <c r="R17" t="s">
        <v>64</v>
      </c>
      <c r="S17" s="68" t="s">
        <v>156</v>
      </c>
      <c r="T17" t="s">
        <v>157</v>
      </c>
      <c r="U17" t="s">
        <v>175</v>
      </c>
      <c r="V17" s="2" t="s">
        <v>159</v>
      </c>
      <c r="W17" s="2" t="s">
        <v>65</v>
      </c>
      <c r="Z17" s="2" t="s">
        <v>132</v>
      </c>
      <c r="AA17" s="2" t="s">
        <v>133</v>
      </c>
      <c r="AB17" s="2" t="s">
        <v>134</v>
      </c>
      <c r="AC17" s="2" t="s">
        <v>135</v>
      </c>
    </row>
    <row r="18" spans="1:29" x14ac:dyDescent="0.35">
      <c r="A18" t="s">
        <v>108</v>
      </c>
      <c r="B18" t="s">
        <v>110</v>
      </c>
      <c r="C18" t="s">
        <v>111</v>
      </c>
      <c r="D18" t="s">
        <v>43</v>
      </c>
      <c r="E18" t="s">
        <v>43</v>
      </c>
      <c r="F18" t="s">
        <v>43</v>
      </c>
      <c r="G18" s="2" t="s">
        <v>111</v>
      </c>
      <c r="H18">
        <v>127058</v>
      </c>
      <c r="I18" s="31" t="s">
        <v>153</v>
      </c>
      <c r="J18" s="2" t="s">
        <v>154</v>
      </c>
      <c r="K18" t="s">
        <v>109</v>
      </c>
      <c r="L18" t="s">
        <v>131</v>
      </c>
      <c r="M18" s="2" t="s">
        <v>78</v>
      </c>
      <c r="N18" t="s">
        <v>155</v>
      </c>
      <c r="O18" t="s">
        <v>100</v>
      </c>
      <c r="P18" s="2" t="s">
        <v>20</v>
      </c>
      <c r="Q18" t="s">
        <v>64</v>
      </c>
      <c r="R18" t="s">
        <v>64</v>
      </c>
      <c r="S18" s="68" t="s">
        <v>156</v>
      </c>
      <c r="T18" t="s">
        <v>157</v>
      </c>
      <c r="U18" t="s">
        <v>176</v>
      </c>
      <c r="V18" s="2" t="s">
        <v>159</v>
      </c>
      <c r="W18" s="2" t="s">
        <v>65</v>
      </c>
      <c r="Z18" s="2" t="s">
        <v>132</v>
      </c>
      <c r="AA18" s="2" t="s">
        <v>133</v>
      </c>
      <c r="AB18" s="2" t="s">
        <v>134</v>
      </c>
      <c r="AC18" s="2" t="s">
        <v>135</v>
      </c>
    </row>
    <row r="19" spans="1:29" x14ac:dyDescent="0.35">
      <c r="A19" t="s">
        <v>108</v>
      </c>
      <c r="B19" t="s">
        <v>110</v>
      </c>
      <c r="C19" t="s">
        <v>111</v>
      </c>
      <c r="D19" t="s">
        <v>43</v>
      </c>
      <c r="E19" t="s">
        <v>43</v>
      </c>
      <c r="F19" t="s">
        <v>43</v>
      </c>
      <c r="G19" s="2" t="s">
        <v>111</v>
      </c>
      <c r="H19">
        <v>127058</v>
      </c>
      <c r="I19" s="31" t="s">
        <v>153</v>
      </c>
      <c r="J19" s="2" t="s">
        <v>154</v>
      </c>
      <c r="K19" t="s">
        <v>109</v>
      </c>
      <c r="L19" t="s">
        <v>131</v>
      </c>
      <c r="M19" s="2" t="s">
        <v>78</v>
      </c>
      <c r="N19" t="s">
        <v>155</v>
      </c>
      <c r="O19" t="s">
        <v>121</v>
      </c>
      <c r="P19" s="2" t="s">
        <v>20</v>
      </c>
      <c r="Q19" t="s">
        <v>64</v>
      </c>
      <c r="R19" t="s">
        <v>64</v>
      </c>
      <c r="S19" s="68" t="s">
        <v>156</v>
      </c>
      <c r="T19" t="s">
        <v>157</v>
      </c>
      <c r="U19" t="s">
        <v>177</v>
      </c>
      <c r="V19" s="2" t="s">
        <v>159</v>
      </c>
      <c r="W19" s="2" t="s">
        <v>65</v>
      </c>
      <c r="Z19" s="2" t="s">
        <v>132</v>
      </c>
      <c r="AA19" s="2" t="s">
        <v>133</v>
      </c>
      <c r="AB19" s="2" t="s">
        <v>134</v>
      </c>
      <c r="AC19" s="2" t="s">
        <v>135</v>
      </c>
    </row>
    <row r="20" spans="1:29" x14ac:dyDescent="0.35">
      <c r="A20" t="s">
        <v>108</v>
      </c>
      <c r="B20" t="s">
        <v>110</v>
      </c>
      <c r="C20" t="s">
        <v>111</v>
      </c>
      <c r="D20" t="s">
        <v>43</v>
      </c>
      <c r="E20" t="s">
        <v>43</v>
      </c>
      <c r="F20" t="s">
        <v>43</v>
      </c>
      <c r="G20" s="2" t="s">
        <v>111</v>
      </c>
      <c r="H20">
        <v>127058</v>
      </c>
      <c r="I20" s="31" t="s">
        <v>153</v>
      </c>
      <c r="J20" s="2" t="s">
        <v>154</v>
      </c>
      <c r="K20" t="s">
        <v>109</v>
      </c>
      <c r="L20" t="s">
        <v>131</v>
      </c>
      <c r="M20" s="2" t="s">
        <v>78</v>
      </c>
      <c r="N20" t="s">
        <v>155</v>
      </c>
      <c r="O20" t="s">
        <v>178</v>
      </c>
      <c r="P20" s="2" t="s">
        <v>20</v>
      </c>
      <c r="Q20" t="s">
        <v>64</v>
      </c>
      <c r="R20" t="s">
        <v>64</v>
      </c>
      <c r="S20" s="68" t="s">
        <v>156</v>
      </c>
      <c r="T20" t="s">
        <v>157</v>
      </c>
      <c r="U20" t="s">
        <v>179</v>
      </c>
      <c r="V20" s="2" t="s">
        <v>159</v>
      </c>
      <c r="W20" s="2" t="s">
        <v>65</v>
      </c>
      <c r="Z20" s="2" t="s">
        <v>132</v>
      </c>
      <c r="AA20" s="2" t="s">
        <v>133</v>
      </c>
      <c r="AB20" s="2" t="s">
        <v>134</v>
      </c>
      <c r="AC20" s="2" t="s">
        <v>135</v>
      </c>
    </row>
    <row r="21" spans="1:29" x14ac:dyDescent="0.35">
      <c r="A21" t="s">
        <v>108</v>
      </c>
      <c r="B21" t="s">
        <v>110</v>
      </c>
      <c r="C21" t="s">
        <v>111</v>
      </c>
      <c r="D21" t="s">
        <v>43</v>
      </c>
      <c r="E21" t="s">
        <v>43</v>
      </c>
      <c r="F21" t="s">
        <v>43</v>
      </c>
      <c r="G21" s="2" t="s">
        <v>111</v>
      </c>
      <c r="H21">
        <v>127058</v>
      </c>
      <c r="I21" s="31" t="s">
        <v>153</v>
      </c>
      <c r="J21" s="2" t="s">
        <v>154</v>
      </c>
      <c r="K21" t="s">
        <v>109</v>
      </c>
      <c r="L21" t="s">
        <v>131</v>
      </c>
      <c r="M21" s="2" t="s">
        <v>78</v>
      </c>
      <c r="N21" t="s">
        <v>155</v>
      </c>
      <c r="O21" t="s">
        <v>180</v>
      </c>
      <c r="P21" s="2" t="s">
        <v>20</v>
      </c>
      <c r="Q21" t="s">
        <v>64</v>
      </c>
      <c r="R21" t="s">
        <v>64</v>
      </c>
      <c r="S21" s="68" t="s">
        <v>156</v>
      </c>
      <c r="T21" t="s">
        <v>157</v>
      </c>
      <c r="U21" t="s">
        <v>181</v>
      </c>
      <c r="V21" s="2" t="s">
        <v>159</v>
      </c>
      <c r="W21" s="2" t="s">
        <v>65</v>
      </c>
      <c r="Z21" s="2" t="s">
        <v>132</v>
      </c>
      <c r="AA21" s="2" t="s">
        <v>133</v>
      </c>
      <c r="AB21" s="2" t="s">
        <v>134</v>
      </c>
      <c r="AC21" s="2" t="s">
        <v>135</v>
      </c>
    </row>
    <row r="22" spans="1:29" x14ac:dyDescent="0.35">
      <c r="A22" t="s">
        <v>108</v>
      </c>
      <c r="B22" t="s">
        <v>110</v>
      </c>
      <c r="C22" t="s">
        <v>111</v>
      </c>
      <c r="D22" t="s">
        <v>43</v>
      </c>
      <c r="E22" t="s">
        <v>43</v>
      </c>
      <c r="F22" t="s">
        <v>43</v>
      </c>
      <c r="G22" s="2" t="s">
        <v>111</v>
      </c>
      <c r="H22">
        <v>127058</v>
      </c>
      <c r="I22" s="31" t="s">
        <v>153</v>
      </c>
      <c r="J22" s="2" t="s">
        <v>154</v>
      </c>
      <c r="K22" t="s">
        <v>109</v>
      </c>
      <c r="L22" t="s">
        <v>131</v>
      </c>
      <c r="M22" s="2" t="s">
        <v>78</v>
      </c>
      <c r="N22" t="s">
        <v>155</v>
      </c>
      <c r="O22" t="s">
        <v>182</v>
      </c>
      <c r="P22" s="2" t="s">
        <v>20</v>
      </c>
      <c r="Q22" t="s">
        <v>64</v>
      </c>
      <c r="R22" t="s">
        <v>64</v>
      </c>
      <c r="S22" s="68" t="s">
        <v>156</v>
      </c>
      <c r="T22" t="s">
        <v>157</v>
      </c>
      <c r="U22" t="s">
        <v>183</v>
      </c>
      <c r="V22" s="2" t="s">
        <v>159</v>
      </c>
      <c r="W22" s="2" t="s">
        <v>65</v>
      </c>
      <c r="Z22" s="2" t="s">
        <v>132</v>
      </c>
      <c r="AA22" s="2" t="s">
        <v>133</v>
      </c>
      <c r="AB22" s="2" t="s">
        <v>134</v>
      </c>
      <c r="AC22" s="2" t="s">
        <v>135</v>
      </c>
    </row>
    <row r="23" spans="1:29" x14ac:dyDescent="0.35">
      <c r="A23" t="s">
        <v>108</v>
      </c>
      <c r="B23" t="s">
        <v>110</v>
      </c>
      <c r="C23" t="s">
        <v>111</v>
      </c>
      <c r="D23" t="s">
        <v>43</v>
      </c>
      <c r="E23" t="s">
        <v>43</v>
      </c>
      <c r="F23" t="s">
        <v>43</v>
      </c>
      <c r="G23" s="2" t="s">
        <v>111</v>
      </c>
      <c r="H23">
        <v>127058</v>
      </c>
      <c r="I23" s="31" t="s">
        <v>153</v>
      </c>
      <c r="J23" s="2" t="s">
        <v>154</v>
      </c>
      <c r="K23" t="s">
        <v>109</v>
      </c>
      <c r="L23" t="s">
        <v>131</v>
      </c>
      <c r="M23" s="2" t="s">
        <v>78</v>
      </c>
      <c r="N23" t="s">
        <v>155</v>
      </c>
      <c r="O23" t="s">
        <v>122</v>
      </c>
      <c r="P23" s="2" t="s">
        <v>20</v>
      </c>
      <c r="Q23" t="s">
        <v>64</v>
      </c>
      <c r="R23" t="s">
        <v>64</v>
      </c>
      <c r="S23" s="68" t="s">
        <v>156</v>
      </c>
      <c r="T23" t="s">
        <v>157</v>
      </c>
      <c r="U23" t="s">
        <v>184</v>
      </c>
      <c r="V23" s="2" t="s">
        <v>159</v>
      </c>
      <c r="W23" s="2" t="s">
        <v>65</v>
      </c>
      <c r="Z23" s="2" t="s">
        <v>132</v>
      </c>
      <c r="AA23" s="2" t="s">
        <v>133</v>
      </c>
      <c r="AB23" s="2" t="s">
        <v>134</v>
      </c>
      <c r="AC23" s="2" t="s">
        <v>135</v>
      </c>
    </row>
    <row r="24" spans="1:29" x14ac:dyDescent="0.35">
      <c r="A24" t="s">
        <v>108</v>
      </c>
      <c r="B24" t="s">
        <v>110</v>
      </c>
      <c r="C24" t="s">
        <v>111</v>
      </c>
      <c r="D24" t="s">
        <v>43</v>
      </c>
      <c r="E24" t="s">
        <v>43</v>
      </c>
      <c r="F24" t="s">
        <v>43</v>
      </c>
      <c r="G24" s="2" t="s">
        <v>111</v>
      </c>
      <c r="H24">
        <v>127058</v>
      </c>
      <c r="I24" s="31" t="s">
        <v>153</v>
      </c>
      <c r="J24" s="2" t="s">
        <v>154</v>
      </c>
      <c r="K24" t="s">
        <v>109</v>
      </c>
      <c r="L24" t="s">
        <v>131</v>
      </c>
      <c r="M24" s="2" t="s">
        <v>78</v>
      </c>
      <c r="N24" t="s">
        <v>155</v>
      </c>
      <c r="O24" t="s">
        <v>185</v>
      </c>
      <c r="P24" s="2" t="s">
        <v>20</v>
      </c>
      <c r="Q24" t="s">
        <v>64</v>
      </c>
      <c r="R24" t="s">
        <v>64</v>
      </c>
      <c r="S24" s="68" t="s">
        <v>156</v>
      </c>
      <c r="T24" t="s">
        <v>157</v>
      </c>
      <c r="U24" t="s">
        <v>186</v>
      </c>
      <c r="V24" s="2" t="s">
        <v>159</v>
      </c>
      <c r="W24" s="2" t="s">
        <v>65</v>
      </c>
      <c r="Z24" s="2" t="s">
        <v>132</v>
      </c>
      <c r="AA24" s="2" t="s">
        <v>133</v>
      </c>
      <c r="AB24" s="2" t="s">
        <v>134</v>
      </c>
      <c r="AC24" s="2" t="s">
        <v>135</v>
      </c>
    </row>
    <row r="25" spans="1:29" x14ac:dyDescent="0.35">
      <c r="A25" t="s">
        <v>108</v>
      </c>
      <c r="B25" t="s">
        <v>110</v>
      </c>
      <c r="C25" t="s">
        <v>111</v>
      </c>
      <c r="D25" t="s">
        <v>43</v>
      </c>
      <c r="E25" t="s">
        <v>43</v>
      </c>
      <c r="F25" t="s">
        <v>43</v>
      </c>
      <c r="G25" s="2" t="s">
        <v>111</v>
      </c>
      <c r="H25">
        <v>127058</v>
      </c>
      <c r="I25" s="31" t="s">
        <v>153</v>
      </c>
      <c r="J25" s="2" t="s">
        <v>154</v>
      </c>
      <c r="K25" t="s">
        <v>109</v>
      </c>
      <c r="L25" t="s">
        <v>131</v>
      </c>
      <c r="M25" s="2" t="s">
        <v>78</v>
      </c>
      <c r="N25" t="s">
        <v>155</v>
      </c>
      <c r="O25" t="s">
        <v>101</v>
      </c>
      <c r="P25" s="2" t="s">
        <v>187</v>
      </c>
      <c r="Q25" t="s">
        <v>64</v>
      </c>
      <c r="R25" t="s">
        <v>64</v>
      </c>
      <c r="S25" s="68" t="s">
        <v>156</v>
      </c>
      <c r="T25" t="s">
        <v>157</v>
      </c>
      <c r="U25" t="s">
        <v>188</v>
      </c>
      <c r="V25" s="2" t="s">
        <v>159</v>
      </c>
      <c r="W25" s="2" t="s">
        <v>65</v>
      </c>
      <c r="Z25" s="2" t="s">
        <v>132</v>
      </c>
      <c r="AA25" s="2" t="s">
        <v>133</v>
      </c>
      <c r="AB25" s="2" t="s">
        <v>134</v>
      </c>
      <c r="AC25" s="2" t="s">
        <v>135</v>
      </c>
    </row>
    <row r="26" spans="1:29" x14ac:dyDescent="0.35">
      <c r="A26" t="s">
        <v>108</v>
      </c>
      <c r="B26" t="s">
        <v>110</v>
      </c>
      <c r="C26" t="s">
        <v>111</v>
      </c>
      <c r="D26" t="s">
        <v>43</v>
      </c>
      <c r="E26" t="s">
        <v>43</v>
      </c>
      <c r="F26" t="s">
        <v>43</v>
      </c>
      <c r="G26" s="2" t="s">
        <v>111</v>
      </c>
      <c r="H26">
        <v>127058</v>
      </c>
      <c r="I26" s="31" t="s">
        <v>153</v>
      </c>
      <c r="J26" s="2" t="s">
        <v>154</v>
      </c>
      <c r="K26" t="s">
        <v>109</v>
      </c>
      <c r="L26" t="s">
        <v>131</v>
      </c>
      <c r="M26" s="2" t="s">
        <v>78</v>
      </c>
      <c r="N26" t="s">
        <v>155</v>
      </c>
      <c r="O26" t="s">
        <v>124</v>
      </c>
      <c r="P26" s="2" t="s">
        <v>20</v>
      </c>
      <c r="Q26" t="s">
        <v>64</v>
      </c>
      <c r="R26" t="s">
        <v>64</v>
      </c>
      <c r="S26" s="68" t="s">
        <v>156</v>
      </c>
      <c r="T26" t="s">
        <v>157</v>
      </c>
      <c r="U26" t="s">
        <v>189</v>
      </c>
      <c r="V26" s="2" t="s">
        <v>159</v>
      </c>
      <c r="W26" s="2" t="s">
        <v>65</v>
      </c>
      <c r="Z26" s="2" t="s">
        <v>132</v>
      </c>
      <c r="AA26" s="2" t="s">
        <v>133</v>
      </c>
      <c r="AB26" s="2" t="s">
        <v>134</v>
      </c>
      <c r="AC26" s="2" t="s">
        <v>135</v>
      </c>
    </row>
    <row r="27" spans="1:29" x14ac:dyDescent="0.35">
      <c r="A27" t="s">
        <v>108</v>
      </c>
      <c r="B27" t="s">
        <v>110</v>
      </c>
      <c r="C27" t="s">
        <v>111</v>
      </c>
      <c r="D27" t="s">
        <v>43</v>
      </c>
      <c r="E27" t="s">
        <v>43</v>
      </c>
      <c r="F27" t="s">
        <v>43</v>
      </c>
      <c r="G27" s="2" t="s">
        <v>111</v>
      </c>
      <c r="H27">
        <v>127058</v>
      </c>
      <c r="I27" s="31" t="s">
        <v>153</v>
      </c>
      <c r="J27" s="2" t="s">
        <v>154</v>
      </c>
      <c r="K27" t="s">
        <v>109</v>
      </c>
      <c r="L27" t="s">
        <v>131</v>
      </c>
      <c r="M27" s="2" t="s">
        <v>78</v>
      </c>
      <c r="N27" t="s">
        <v>155</v>
      </c>
      <c r="O27" t="s">
        <v>136</v>
      </c>
      <c r="P27" s="2" t="s">
        <v>20</v>
      </c>
      <c r="Q27" t="s">
        <v>64</v>
      </c>
      <c r="R27" t="s">
        <v>64</v>
      </c>
      <c r="S27" s="68" t="s">
        <v>156</v>
      </c>
      <c r="T27" t="s">
        <v>157</v>
      </c>
      <c r="U27" t="s">
        <v>190</v>
      </c>
      <c r="V27" s="2" t="s">
        <v>159</v>
      </c>
      <c r="W27" s="2" t="s">
        <v>65</v>
      </c>
      <c r="Z27" s="2" t="s">
        <v>132</v>
      </c>
      <c r="AA27" s="2" t="s">
        <v>133</v>
      </c>
      <c r="AB27" s="2" t="s">
        <v>134</v>
      </c>
      <c r="AC27" s="2" t="s">
        <v>135</v>
      </c>
    </row>
    <row r="28" spans="1:29" x14ac:dyDescent="0.35">
      <c r="A28" t="s">
        <v>108</v>
      </c>
      <c r="B28" t="s">
        <v>110</v>
      </c>
      <c r="C28" t="s">
        <v>111</v>
      </c>
      <c r="D28" t="s">
        <v>43</v>
      </c>
      <c r="E28" t="s">
        <v>43</v>
      </c>
      <c r="F28" t="s">
        <v>43</v>
      </c>
      <c r="G28" s="2" t="s">
        <v>111</v>
      </c>
      <c r="H28">
        <v>127058</v>
      </c>
      <c r="I28" s="31" t="s">
        <v>153</v>
      </c>
      <c r="J28" s="2" t="s">
        <v>154</v>
      </c>
      <c r="K28" t="s">
        <v>109</v>
      </c>
      <c r="L28" t="s">
        <v>131</v>
      </c>
      <c r="M28" s="2" t="s">
        <v>78</v>
      </c>
      <c r="N28" t="s">
        <v>155</v>
      </c>
      <c r="O28" t="s">
        <v>137</v>
      </c>
      <c r="P28" s="2" t="s">
        <v>20</v>
      </c>
      <c r="Q28" t="s">
        <v>64</v>
      </c>
      <c r="R28" t="s">
        <v>64</v>
      </c>
      <c r="S28" s="68" t="s">
        <v>156</v>
      </c>
      <c r="T28" t="s">
        <v>157</v>
      </c>
      <c r="U28" t="s">
        <v>191</v>
      </c>
      <c r="V28" s="2" t="s">
        <v>159</v>
      </c>
      <c r="W28" s="2" t="s">
        <v>65</v>
      </c>
      <c r="Z28" s="2" t="s">
        <v>132</v>
      </c>
      <c r="AA28" s="2" t="s">
        <v>133</v>
      </c>
      <c r="AB28" s="2" t="s">
        <v>134</v>
      </c>
      <c r="AC28" s="2" t="s">
        <v>135</v>
      </c>
    </row>
    <row r="29" spans="1:29" x14ac:dyDescent="0.35">
      <c r="A29" t="s">
        <v>108</v>
      </c>
      <c r="B29" t="s">
        <v>110</v>
      </c>
      <c r="C29" t="s">
        <v>111</v>
      </c>
      <c r="D29" t="s">
        <v>43</v>
      </c>
      <c r="E29" t="s">
        <v>43</v>
      </c>
      <c r="F29" t="s">
        <v>43</v>
      </c>
      <c r="G29" s="2" t="s">
        <v>111</v>
      </c>
      <c r="H29">
        <v>127058</v>
      </c>
      <c r="I29" s="31" t="s">
        <v>153</v>
      </c>
      <c r="J29" s="2" t="s">
        <v>154</v>
      </c>
      <c r="K29" t="s">
        <v>109</v>
      </c>
      <c r="L29" t="s">
        <v>131</v>
      </c>
      <c r="M29" s="2" t="s">
        <v>78</v>
      </c>
      <c r="N29" t="s">
        <v>155</v>
      </c>
      <c r="O29" t="s">
        <v>192</v>
      </c>
      <c r="P29" s="2" t="s">
        <v>20</v>
      </c>
      <c r="Q29" t="s">
        <v>64</v>
      </c>
      <c r="R29" t="s">
        <v>64</v>
      </c>
      <c r="S29" s="68" t="s">
        <v>156</v>
      </c>
      <c r="T29" t="s">
        <v>157</v>
      </c>
      <c r="U29" t="s">
        <v>193</v>
      </c>
      <c r="V29" s="2" t="s">
        <v>159</v>
      </c>
      <c r="W29" s="2" t="s">
        <v>65</v>
      </c>
      <c r="Z29" s="2" t="s">
        <v>132</v>
      </c>
      <c r="AA29" s="2" t="s">
        <v>133</v>
      </c>
      <c r="AB29" s="2" t="s">
        <v>134</v>
      </c>
      <c r="AC29" s="2" t="s">
        <v>135</v>
      </c>
    </row>
    <row r="30" spans="1:29" x14ac:dyDescent="0.35">
      <c r="A30" t="s">
        <v>108</v>
      </c>
      <c r="B30" t="s">
        <v>110</v>
      </c>
      <c r="C30" t="s">
        <v>111</v>
      </c>
      <c r="D30" t="s">
        <v>43</v>
      </c>
      <c r="E30" t="s">
        <v>43</v>
      </c>
      <c r="F30" t="s">
        <v>43</v>
      </c>
      <c r="G30" s="2" t="s">
        <v>111</v>
      </c>
      <c r="H30">
        <v>127058</v>
      </c>
      <c r="I30" s="31" t="s">
        <v>153</v>
      </c>
      <c r="J30" s="2" t="s">
        <v>154</v>
      </c>
      <c r="K30" t="s">
        <v>109</v>
      </c>
      <c r="L30" t="s">
        <v>131</v>
      </c>
      <c r="M30" s="2" t="s">
        <v>78</v>
      </c>
      <c r="N30" t="s">
        <v>155</v>
      </c>
      <c r="O30" t="s">
        <v>194</v>
      </c>
      <c r="P30" s="2" t="s">
        <v>20</v>
      </c>
      <c r="Q30" t="s">
        <v>64</v>
      </c>
      <c r="R30" t="s">
        <v>64</v>
      </c>
      <c r="S30" s="68" t="s">
        <v>156</v>
      </c>
      <c r="T30" t="s">
        <v>157</v>
      </c>
      <c r="U30" t="s">
        <v>195</v>
      </c>
      <c r="V30" s="2" t="s">
        <v>159</v>
      </c>
      <c r="W30" s="2" t="s">
        <v>65</v>
      </c>
      <c r="Z30" s="2" t="s">
        <v>132</v>
      </c>
      <c r="AA30" s="2" t="s">
        <v>133</v>
      </c>
      <c r="AB30" s="2" t="s">
        <v>134</v>
      </c>
      <c r="AC30" s="2" t="s">
        <v>135</v>
      </c>
    </row>
    <row r="31" spans="1:29" x14ac:dyDescent="0.35">
      <c r="A31" t="s">
        <v>108</v>
      </c>
      <c r="B31" t="s">
        <v>110</v>
      </c>
      <c r="C31" t="s">
        <v>111</v>
      </c>
      <c r="D31" t="s">
        <v>43</v>
      </c>
      <c r="E31" t="s">
        <v>43</v>
      </c>
      <c r="F31" t="s">
        <v>43</v>
      </c>
      <c r="G31" s="2" t="s">
        <v>111</v>
      </c>
      <c r="H31">
        <v>127058</v>
      </c>
      <c r="I31" s="31" t="s">
        <v>153</v>
      </c>
      <c r="J31" s="2" t="s">
        <v>154</v>
      </c>
      <c r="K31" t="s">
        <v>109</v>
      </c>
      <c r="L31" t="s">
        <v>131</v>
      </c>
      <c r="M31" s="2" t="s">
        <v>78</v>
      </c>
      <c r="N31" t="s">
        <v>155</v>
      </c>
      <c r="O31" t="s">
        <v>102</v>
      </c>
      <c r="P31" s="2" t="s">
        <v>164</v>
      </c>
      <c r="Q31" t="s">
        <v>64</v>
      </c>
      <c r="R31" t="s">
        <v>64</v>
      </c>
      <c r="S31" s="68" t="s">
        <v>156</v>
      </c>
      <c r="T31" t="s">
        <v>157</v>
      </c>
      <c r="U31" t="s">
        <v>196</v>
      </c>
      <c r="V31" s="2" t="s">
        <v>159</v>
      </c>
      <c r="W31" s="2" t="s">
        <v>65</v>
      </c>
      <c r="Z31" s="2" t="s">
        <v>132</v>
      </c>
      <c r="AA31" s="2" t="s">
        <v>133</v>
      </c>
      <c r="AB31" s="2" t="s">
        <v>134</v>
      </c>
      <c r="AC31" s="2" t="s">
        <v>135</v>
      </c>
    </row>
    <row r="32" spans="1:29" x14ac:dyDescent="0.35">
      <c r="A32" t="s">
        <v>108</v>
      </c>
      <c r="B32" t="s">
        <v>110</v>
      </c>
      <c r="C32" t="s">
        <v>111</v>
      </c>
      <c r="D32" t="s">
        <v>43</v>
      </c>
      <c r="E32" t="s">
        <v>43</v>
      </c>
      <c r="F32" t="s">
        <v>43</v>
      </c>
      <c r="G32" s="2" t="s">
        <v>111</v>
      </c>
      <c r="H32">
        <v>127058</v>
      </c>
      <c r="I32" s="31" t="s">
        <v>153</v>
      </c>
      <c r="J32" s="2" t="s">
        <v>154</v>
      </c>
      <c r="K32" t="s">
        <v>109</v>
      </c>
      <c r="L32" t="s">
        <v>131</v>
      </c>
      <c r="M32" s="2" t="s">
        <v>78</v>
      </c>
      <c r="N32" t="s">
        <v>155</v>
      </c>
      <c r="O32" t="s">
        <v>103</v>
      </c>
      <c r="P32" s="2" t="s">
        <v>197</v>
      </c>
      <c r="Q32" t="s">
        <v>64</v>
      </c>
      <c r="R32" t="s">
        <v>64</v>
      </c>
      <c r="S32" s="68" t="s">
        <v>156</v>
      </c>
      <c r="T32" t="s">
        <v>157</v>
      </c>
      <c r="U32" t="s">
        <v>198</v>
      </c>
      <c r="V32" s="2" t="s">
        <v>159</v>
      </c>
      <c r="W32" s="2" t="s">
        <v>65</v>
      </c>
      <c r="Z32" s="2" t="s">
        <v>132</v>
      </c>
      <c r="AA32" s="2" t="s">
        <v>133</v>
      </c>
      <c r="AB32" s="2" t="s">
        <v>134</v>
      </c>
      <c r="AC32" s="2" t="s">
        <v>135</v>
      </c>
    </row>
    <row r="33" spans="1:29" x14ac:dyDescent="0.35">
      <c r="A33" t="s">
        <v>108</v>
      </c>
      <c r="B33" t="s">
        <v>69</v>
      </c>
      <c r="C33" t="s">
        <v>8</v>
      </c>
      <c r="D33" t="s">
        <v>14</v>
      </c>
      <c r="E33" t="s">
        <v>14</v>
      </c>
      <c r="F33" t="s">
        <v>14</v>
      </c>
      <c r="G33" t="s">
        <v>8</v>
      </c>
      <c r="H33">
        <v>555967</v>
      </c>
      <c r="I33" s="31" t="s">
        <v>200</v>
      </c>
      <c r="J33" s="2" t="s">
        <v>201</v>
      </c>
      <c r="K33" t="s">
        <v>64</v>
      </c>
      <c r="L33" t="s">
        <v>202</v>
      </c>
      <c r="M33" s="2" t="s">
        <v>78</v>
      </c>
      <c r="N33" t="s">
        <v>155</v>
      </c>
      <c r="O33" t="s">
        <v>87</v>
      </c>
      <c r="P33" s="2" t="s">
        <v>20</v>
      </c>
      <c r="Q33" t="s">
        <v>64</v>
      </c>
      <c r="R33" t="s">
        <v>64</v>
      </c>
      <c r="S33" s="68" t="s">
        <v>203</v>
      </c>
      <c r="T33" t="s">
        <v>204</v>
      </c>
      <c r="U33" t="s">
        <v>205</v>
      </c>
      <c r="V33" s="2" t="s">
        <v>206</v>
      </c>
      <c r="W33" s="2" t="s">
        <v>65</v>
      </c>
      <c r="Z33" s="2" t="s">
        <v>129</v>
      </c>
      <c r="AA33" s="2" t="s">
        <v>130</v>
      </c>
      <c r="AB33" s="2" t="s">
        <v>66</v>
      </c>
      <c r="AC33" s="2" t="s">
        <v>67</v>
      </c>
    </row>
    <row r="34" spans="1:29" x14ac:dyDescent="0.35">
      <c r="A34" t="s">
        <v>108</v>
      </c>
      <c r="B34" t="s">
        <v>69</v>
      </c>
      <c r="C34" t="s">
        <v>8</v>
      </c>
      <c r="D34" t="s">
        <v>14</v>
      </c>
      <c r="E34" t="s">
        <v>14</v>
      </c>
      <c r="F34" t="s">
        <v>14</v>
      </c>
      <c r="G34" t="s">
        <v>8</v>
      </c>
      <c r="H34">
        <v>555967</v>
      </c>
      <c r="I34" s="31" t="s">
        <v>200</v>
      </c>
      <c r="J34" s="2" t="s">
        <v>201</v>
      </c>
      <c r="K34" t="s">
        <v>64</v>
      </c>
      <c r="L34" t="s">
        <v>202</v>
      </c>
      <c r="M34" s="2" t="s">
        <v>78</v>
      </c>
      <c r="N34" t="s">
        <v>155</v>
      </c>
      <c r="O34" t="s">
        <v>88</v>
      </c>
      <c r="P34" s="2" t="s">
        <v>20</v>
      </c>
      <c r="Q34" t="s">
        <v>64</v>
      </c>
      <c r="R34" t="s">
        <v>64</v>
      </c>
      <c r="S34" s="68" t="s">
        <v>203</v>
      </c>
      <c r="T34" t="s">
        <v>204</v>
      </c>
      <c r="U34" t="s">
        <v>205</v>
      </c>
      <c r="V34" s="2" t="s">
        <v>206</v>
      </c>
      <c r="W34" s="2" t="s">
        <v>65</v>
      </c>
      <c r="Z34" s="2" t="s">
        <v>129</v>
      </c>
      <c r="AA34" s="2" t="s">
        <v>130</v>
      </c>
      <c r="AB34" s="2" t="s">
        <v>66</v>
      </c>
      <c r="AC34" s="2" t="s">
        <v>67</v>
      </c>
    </row>
    <row r="35" spans="1:29" x14ac:dyDescent="0.35">
      <c r="A35" t="s">
        <v>108</v>
      </c>
      <c r="B35" t="s">
        <v>69</v>
      </c>
      <c r="C35" t="s">
        <v>8</v>
      </c>
      <c r="D35" t="s">
        <v>14</v>
      </c>
      <c r="E35" t="s">
        <v>14</v>
      </c>
      <c r="F35" t="s">
        <v>14</v>
      </c>
      <c r="G35" t="s">
        <v>8</v>
      </c>
      <c r="H35">
        <v>555967</v>
      </c>
      <c r="I35" s="31" t="s">
        <v>200</v>
      </c>
      <c r="J35" s="2" t="s">
        <v>201</v>
      </c>
      <c r="K35" t="s">
        <v>64</v>
      </c>
      <c r="L35" t="s">
        <v>202</v>
      </c>
      <c r="M35" s="2" t="s">
        <v>78</v>
      </c>
      <c r="N35" t="s">
        <v>155</v>
      </c>
      <c r="O35" t="s">
        <v>89</v>
      </c>
      <c r="P35" s="2" t="s">
        <v>20</v>
      </c>
      <c r="Q35" t="s">
        <v>64</v>
      </c>
      <c r="R35" t="s">
        <v>64</v>
      </c>
      <c r="S35" s="68" t="s">
        <v>203</v>
      </c>
      <c r="T35" t="s">
        <v>204</v>
      </c>
      <c r="U35" t="s">
        <v>205</v>
      </c>
      <c r="V35" s="2" t="s">
        <v>206</v>
      </c>
      <c r="W35" s="2" t="s">
        <v>65</v>
      </c>
      <c r="Z35" s="2" t="s">
        <v>129</v>
      </c>
      <c r="AA35" s="2" t="s">
        <v>130</v>
      </c>
      <c r="AB35" s="2" t="s">
        <v>66</v>
      </c>
      <c r="AC35" s="2" t="s">
        <v>67</v>
      </c>
    </row>
    <row r="36" spans="1:29" x14ac:dyDescent="0.35">
      <c r="A36" t="s">
        <v>108</v>
      </c>
      <c r="B36" t="s">
        <v>69</v>
      </c>
      <c r="C36" t="s">
        <v>8</v>
      </c>
      <c r="D36" t="s">
        <v>14</v>
      </c>
      <c r="E36" t="s">
        <v>14</v>
      </c>
      <c r="F36" t="s">
        <v>14</v>
      </c>
      <c r="G36" t="s">
        <v>8</v>
      </c>
      <c r="H36">
        <v>555967</v>
      </c>
      <c r="I36" s="31" t="s">
        <v>200</v>
      </c>
      <c r="J36" s="2" t="s">
        <v>201</v>
      </c>
      <c r="K36" t="s">
        <v>64</v>
      </c>
      <c r="L36" t="s">
        <v>202</v>
      </c>
      <c r="M36" s="2" t="s">
        <v>78</v>
      </c>
      <c r="N36" t="s">
        <v>155</v>
      </c>
      <c r="O36" t="s">
        <v>90</v>
      </c>
      <c r="P36" s="2" t="s">
        <v>20</v>
      </c>
      <c r="Q36" t="s">
        <v>64</v>
      </c>
      <c r="R36" t="s">
        <v>64</v>
      </c>
      <c r="S36" s="68" t="s">
        <v>203</v>
      </c>
      <c r="T36" t="s">
        <v>204</v>
      </c>
      <c r="U36" t="s">
        <v>205</v>
      </c>
      <c r="V36" s="2" t="s">
        <v>206</v>
      </c>
      <c r="W36" s="2" t="s">
        <v>65</v>
      </c>
      <c r="Z36" s="2" t="s">
        <v>129</v>
      </c>
      <c r="AA36" s="2" t="s">
        <v>130</v>
      </c>
      <c r="AB36" s="2" t="s">
        <v>66</v>
      </c>
      <c r="AC36" s="2" t="s">
        <v>67</v>
      </c>
    </row>
    <row r="37" spans="1:29" x14ac:dyDescent="0.35">
      <c r="A37" t="s">
        <v>108</v>
      </c>
      <c r="B37" t="s">
        <v>69</v>
      </c>
      <c r="C37" t="s">
        <v>8</v>
      </c>
      <c r="D37" t="s">
        <v>14</v>
      </c>
      <c r="E37" t="s">
        <v>14</v>
      </c>
      <c r="F37" t="s">
        <v>14</v>
      </c>
      <c r="G37" t="s">
        <v>8</v>
      </c>
      <c r="H37">
        <v>555967</v>
      </c>
      <c r="I37" s="31" t="s">
        <v>200</v>
      </c>
      <c r="J37" s="2" t="s">
        <v>201</v>
      </c>
      <c r="K37" t="s">
        <v>64</v>
      </c>
      <c r="L37" t="s">
        <v>202</v>
      </c>
      <c r="M37" s="2" t="s">
        <v>78</v>
      </c>
      <c r="N37" t="s">
        <v>155</v>
      </c>
      <c r="O37" t="s">
        <v>35</v>
      </c>
      <c r="P37" s="2" t="s">
        <v>20</v>
      </c>
      <c r="Q37" t="s">
        <v>64</v>
      </c>
      <c r="R37" t="s">
        <v>64</v>
      </c>
      <c r="S37" s="68" t="s">
        <v>203</v>
      </c>
      <c r="T37" t="s">
        <v>204</v>
      </c>
      <c r="U37" t="s">
        <v>205</v>
      </c>
      <c r="V37" s="2" t="s">
        <v>206</v>
      </c>
      <c r="W37" s="2" t="s">
        <v>65</v>
      </c>
      <c r="Z37" s="2" t="s">
        <v>129</v>
      </c>
      <c r="AA37" s="2" t="s">
        <v>130</v>
      </c>
      <c r="AB37" s="2" t="s">
        <v>66</v>
      </c>
      <c r="AC37" s="2" t="s">
        <v>67</v>
      </c>
    </row>
    <row r="38" spans="1:29" x14ac:dyDescent="0.35">
      <c r="A38" t="s">
        <v>108</v>
      </c>
      <c r="B38" t="s">
        <v>69</v>
      </c>
      <c r="C38" t="s">
        <v>8</v>
      </c>
      <c r="D38" t="s">
        <v>14</v>
      </c>
      <c r="E38" t="s">
        <v>14</v>
      </c>
      <c r="F38" t="s">
        <v>14</v>
      </c>
      <c r="G38" t="s">
        <v>8</v>
      </c>
      <c r="H38">
        <v>555967</v>
      </c>
      <c r="I38" s="31" t="s">
        <v>200</v>
      </c>
      <c r="J38" s="2" t="s">
        <v>201</v>
      </c>
      <c r="K38" t="s">
        <v>64</v>
      </c>
      <c r="L38" t="s">
        <v>202</v>
      </c>
      <c r="M38" s="2" t="s">
        <v>78</v>
      </c>
      <c r="N38" t="s">
        <v>155</v>
      </c>
      <c r="O38" t="s">
        <v>91</v>
      </c>
      <c r="P38" s="2" t="s">
        <v>164</v>
      </c>
      <c r="Q38" t="s">
        <v>64</v>
      </c>
      <c r="R38" t="s">
        <v>64</v>
      </c>
      <c r="S38" s="68" t="s">
        <v>203</v>
      </c>
      <c r="T38" t="s">
        <v>204</v>
      </c>
      <c r="U38" t="s">
        <v>205</v>
      </c>
      <c r="V38" s="2" t="s">
        <v>206</v>
      </c>
      <c r="W38" s="2" t="s">
        <v>65</v>
      </c>
      <c r="Z38" s="2" t="s">
        <v>129</v>
      </c>
      <c r="AA38" s="2" t="s">
        <v>130</v>
      </c>
      <c r="AB38" s="2" t="s">
        <v>66</v>
      </c>
      <c r="AC38" s="2" t="s">
        <v>67</v>
      </c>
    </row>
    <row r="39" spans="1:29" x14ac:dyDescent="0.35">
      <c r="A39" t="s">
        <v>108</v>
      </c>
      <c r="B39" t="s">
        <v>69</v>
      </c>
      <c r="C39" t="s">
        <v>8</v>
      </c>
      <c r="D39" t="s">
        <v>14</v>
      </c>
      <c r="E39" t="s">
        <v>14</v>
      </c>
      <c r="F39" t="s">
        <v>14</v>
      </c>
      <c r="G39" t="s">
        <v>8</v>
      </c>
      <c r="H39">
        <v>555967</v>
      </c>
      <c r="I39" s="31" t="s">
        <v>200</v>
      </c>
      <c r="J39" s="2" t="s">
        <v>201</v>
      </c>
      <c r="K39" t="s">
        <v>64</v>
      </c>
      <c r="L39" t="s">
        <v>202</v>
      </c>
      <c r="M39" s="2" t="s">
        <v>78</v>
      </c>
      <c r="N39" t="s">
        <v>155</v>
      </c>
      <c r="O39" t="s">
        <v>92</v>
      </c>
      <c r="P39" s="2" t="s">
        <v>20</v>
      </c>
      <c r="Q39" t="s">
        <v>64</v>
      </c>
      <c r="R39" t="s">
        <v>64</v>
      </c>
      <c r="S39" s="68" t="s">
        <v>203</v>
      </c>
      <c r="T39" t="s">
        <v>204</v>
      </c>
      <c r="U39" t="s">
        <v>205</v>
      </c>
      <c r="V39" s="2" t="s">
        <v>206</v>
      </c>
      <c r="W39" s="2" t="s">
        <v>65</v>
      </c>
      <c r="Z39" s="2" t="s">
        <v>129</v>
      </c>
      <c r="AA39" s="2" t="s">
        <v>130</v>
      </c>
      <c r="AB39" s="2" t="s">
        <v>66</v>
      </c>
      <c r="AC39" s="2" t="s">
        <v>67</v>
      </c>
    </row>
    <row r="40" spans="1:29" x14ac:dyDescent="0.35">
      <c r="A40" t="s">
        <v>108</v>
      </c>
      <c r="B40" t="s">
        <v>69</v>
      </c>
      <c r="C40" t="s">
        <v>8</v>
      </c>
      <c r="D40" t="s">
        <v>14</v>
      </c>
      <c r="E40" t="s">
        <v>14</v>
      </c>
      <c r="F40" t="s">
        <v>14</v>
      </c>
      <c r="G40" t="s">
        <v>8</v>
      </c>
      <c r="H40">
        <v>555967</v>
      </c>
      <c r="I40" s="31" t="s">
        <v>200</v>
      </c>
      <c r="J40" s="2" t="s">
        <v>201</v>
      </c>
      <c r="K40" t="s">
        <v>64</v>
      </c>
      <c r="L40" t="s">
        <v>202</v>
      </c>
      <c r="M40" s="2" t="s">
        <v>78</v>
      </c>
      <c r="N40" t="s">
        <v>155</v>
      </c>
      <c r="O40" t="s">
        <v>93</v>
      </c>
      <c r="P40" s="2" t="s">
        <v>20</v>
      </c>
      <c r="Q40" t="s">
        <v>64</v>
      </c>
      <c r="R40" t="s">
        <v>64</v>
      </c>
      <c r="S40" s="68" t="s">
        <v>203</v>
      </c>
      <c r="T40" t="s">
        <v>204</v>
      </c>
      <c r="U40" t="s">
        <v>205</v>
      </c>
      <c r="V40" s="2" t="s">
        <v>206</v>
      </c>
      <c r="W40" s="2" t="s">
        <v>65</v>
      </c>
      <c r="Z40" s="2" t="s">
        <v>129</v>
      </c>
      <c r="AA40" s="2" t="s">
        <v>130</v>
      </c>
      <c r="AB40" s="2" t="s">
        <v>66</v>
      </c>
      <c r="AC40" s="2" t="s">
        <v>67</v>
      </c>
    </row>
    <row r="41" spans="1:29" x14ac:dyDescent="0.35">
      <c r="A41" t="s">
        <v>108</v>
      </c>
      <c r="B41" t="s">
        <v>69</v>
      </c>
      <c r="C41" t="s">
        <v>8</v>
      </c>
      <c r="D41" t="s">
        <v>14</v>
      </c>
      <c r="E41" t="s">
        <v>14</v>
      </c>
      <c r="F41" t="s">
        <v>14</v>
      </c>
      <c r="G41" t="s">
        <v>8</v>
      </c>
      <c r="H41">
        <v>555967</v>
      </c>
      <c r="I41" s="31" t="s">
        <v>200</v>
      </c>
      <c r="J41" s="2" t="s">
        <v>201</v>
      </c>
      <c r="K41" t="s">
        <v>64</v>
      </c>
      <c r="L41" t="s">
        <v>202</v>
      </c>
      <c r="M41" s="2" t="s">
        <v>78</v>
      </c>
      <c r="N41" t="s">
        <v>155</v>
      </c>
      <c r="O41" t="s">
        <v>94</v>
      </c>
      <c r="P41" s="2" t="s">
        <v>164</v>
      </c>
      <c r="Q41" t="s">
        <v>64</v>
      </c>
      <c r="R41" t="s">
        <v>64</v>
      </c>
      <c r="S41" s="68" t="s">
        <v>203</v>
      </c>
      <c r="T41" t="s">
        <v>204</v>
      </c>
      <c r="U41" t="s">
        <v>205</v>
      </c>
      <c r="V41" s="2" t="s">
        <v>206</v>
      </c>
      <c r="W41" s="2" t="s">
        <v>65</v>
      </c>
      <c r="Z41" s="2" t="s">
        <v>129</v>
      </c>
      <c r="AA41" s="2" t="s">
        <v>130</v>
      </c>
      <c r="AB41" s="2" t="s">
        <v>66</v>
      </c>
      <c r="AC41" s="2" t="s">
        <v>67</v>
      </c>
    </row>
    <row r="42" spans="1:29" x14ac:dyDescent="0.35">
      <c r="A42" t="s">
        <v>108</v>
      </c>
      <c r="B42" t="s">
        <v>69</v>
      </c>
      <c r="C42" t="s">
        <v>8</v>
      </c>
      <c r="D42" t="s">
        <v>14</v>
      </c>
      <c r="E42" t="s">
        <v>14</v>
      </c>
      <c r="F42" t="s">
        <v>14</v>
      </c>
      <c r="G42" t="s">
        <v>8</v>
      </c>
      <c r="H42">
        <v>555967</v>
      </c>
      <c r="I42" s="31" t="s">
        <v>200</v>
      </c>
      <c r="J42" s="2" t="s">
        <v>201</v>
      </c>
      <c r="K42" t="s">
        <v>64</v>
      </c>
      <c r="L42" t="s">
        <v>202</v>
      </c>
      <c r="M42" s="2" t="s">
        <v>78</v>
      </c>
      <c r="N42" t="s">
        <v>155</v>
      </c>
      <c r="O42" t="s">
        <v>95</v>
      </c>
      <c r="P42" s="2" t="s">
        <v>164</v>
      </c>
      <c r="Q42" t="s">
        <v>64</v>
      </c>
      <c r="R42" t="s">
        <v>64</v>
      </c>
      <c r="S42" s="68" t="s">
        <v>203</v>
      </c>
      <c r="T42" t="s">
        <v>204</v>
      </c>
      <c r="U42" t="s">
        <v>205</v>
      </c>
      <c r="V42" s="2" t="s">
        <v>206</v>
      </c>
      <c r="W42" s="2" t="s">
        <v>65</v>
      </c>
      <c r="Z42" s="2" t="s">
        <v>129</v>
      </c>
      <c r="AA42" s="2" t="s">
        <v>130</v>
      </c>
      <c r="AB42" s="2" t="s">
        <v>66</v>
      </c>
      <c r="AC42" s="2" t="s">
        <v>67</v>
      </c>
    </row>
    <row r="43" spans="1:29" x14ac:dyDescent="0.35">
      <c r="A43" t="s">
        <v>108</v>
      </c>
      <c r="B43" t="s">
        <v>69</v>
      </c>
      <c r="C43" t="s">
        <v>8</v>
      </c>
      <c r="D43" t="s">
        <v>14</v>
      </c>
      <c r="E43" t="s">
        <v>14</v>
      </c>
      <c r="F43" t="s">
        <v>14</v>
      </c>
      <c r="G43" t="s">
        <v>8</v>
      </c>
      <c r="H43">
        <v>555967</v>
      </c>
      <c r="I43" s="31" t="s">
        <v>200</v>
      </c>
      <c r="J43" s="2" t="s">
        <v>201</v>
      </c>
      <c r="K43" t="s">
        <v>64</v>
      </c>
      <c r="L43" t="s">
        <v>202</v>
      </c>
      <c r="M43" s="2" t="s">
        <v>78</v>
      </c>
      <c r="N43" t="s">
        <v>155</v>
      </c>
      <c r="O43" t="s">
        <v>96</v>
      </c>
      <c r="P43" s="2" t="s">
        <v>164</v>
      </c>
      <c r="Q43" t="s">
        <v>64</v>
      </c>
      <c r="R43" t="s">
        <v>64</v>
      </c>
      <c r="S43" s="68" t="s">
        <v>203</v>
      </c>
      <c r="T43" t="s">
        <v>204</v>
      </c>
      <c r="U43" t="s">
        <v>205</v>
      </c>
      <c r="V43" s="2" t="s">
        <v>206</v>
      </c>
      <c r="W43" s="2" t="s">
        <v>65</v>
      </c>
      <c r="Z43" s="2" t="s">
        <v>129</v>
      </c>
      <c r="AA43" s="2" t="s">
        <v>130</v>
      </c>
      <c r="AB43" s="2" t="s">
        <v>66</v>
      </c>
      <c r="AC43" s="2" t="s">
        <v>67</v>
      </c>
    </row>
    <row r="44" spans="1:29" x14ac:dyDescent="0.35">
      <c r="A44" t="s">
        <v>108</v>
      </c>
      <c r="B44" t="s">
        <v>69</v>
      </c>
      <c r="C44" t="s">
        <v>8</v>
      </c>
      <c r="D44" t="s">
        <v>14</v>
      </c>
      <c r="E44" t="s">
        <v>14</v>
      </c>
      <c r="F44" t="s">
        <v>14</v>
      </c>
      <c r="G44" t="s">
        <v>8</v>
      </c>
      <c r="H44">
        <v>555967</v>
      </c>
      <c r="I44" s="31" t="s">
        <v>200</v>
      </c>
      <c r="J44" s="2" t="s">
        <v>201</v>
      </c>
      <c r="K44" t="s">
        <v>64</v>
      </c>
      <c r="L44" t="s">
        <v>202</v>
      </c>
      <c r="M44" s="2" t="s">
        <v>78</v>
      </c>
      <c r="N44" t="s">
        <v>155</v>
      </c>
      <c r="O44" t="s">
        <v>97</v>
      </c>
      <c r="P44" s="2" t="s">
        <v>164</v>
      </c>
      <c r="Q44" t="s">
        <v>64</v>
      </c>
      <c r="R44" t="s">
        <v>64</v>
      </c>
      <c r="S44" s="68" t="s">
        <v>203</v>
      </c>
      <c r="T44" t="s">
        <v>204</v>
      </c>
      <c r="U44" t="s">
        <v>205</v>
      </c>
      <c r="V44" s="2" t="s">
        <v>206</v>
      </c>
      <c r="W44" s="2" t="s">
        <v>65</v>
      </c>
      <c r="Z44" s="2" t="s">
        <v>129</v>
      </c>
      <c r="AA44" s="2" t="s">
        <v>130</v>
      </c>
      <c r="AB44" s="2" t="s">
        <v>66</v>
      </c>
      <c r="AC44" s="2" t="s">
        <v>67</v>
      </c>
    </row>
    <row r="45" spans="1:29" x14ac:dyDescent="0.35">
      <c r="A45" t="s">
        <v>108</v>
      </c>
      <c r="B45" t="s">
        <v>69</v>
      </c>
      <c r="C45" t="s">
        <v>8</v>
      </c>
      <c r="D45" t="s">
        <v>14</v>
      </c>
      <c r="E45" t="s">
        <v>14</v>
      </c>
      <c r="F45" t="s">
        <v>14</v>
      </c>
      <c r="G45" t="s">
        <v>8</v>
      </c>
      <c r="H45">
        <v>555967</v>
      </c>
      <c r="I45" s="31" t="s">
        <v>200</v>
      </c>
      <c r="J45" s="2" t="s">
        <v>201</v>
      </c>
      <c r="K45" t="s">
        <v>64</v>
      </c>
      <c r="L45" t="s">
        <v>202</v>
      </c>
      <c r="M45" s="2" t="s">
        <v>78</v>
      </c>
      <c r="N45" t="s">
        <v>155</v>
      </c>
      <c r="O45" t="s">
        <v>125</v>
      </c>
      <c r="P45" s="2" t="s">
        <v>20</v>
      </c>
      <c r="Q45" t="s">
        <v>64</v>
      </c>
      <c r="R45" t="s">
        <v>64</v>
      </c>
      <c r="S45" s="68" t="s">
        <v>203</v>
      </c>
      <c r="T45" t="s">
        <v>204</v>
      </c>
      <c r="U45" t="s">
        <v>205</v>
      </c>
      <c r="V45" s="2" t="s">
        <v>206</v>
      </c>
      <c r="W45" s="2" t="s">
        <v>65</v>
      </c>
      <c r="Z45" s="2" t="s">
        <v>129</v>
      </c>
      <c r="AA45" s="2" t="s">
        <v>130</v>
      </c>
      <c r="AB45" s="2" t="s">
        <v>66</v>
      </c>
      <c r="AC45" s="2" t="s">
        <v>67</v>
      </c>
    </row>
    <row r="46" spans="1:29" x14ac:dyDescent="0.35">
      <c r="A46" t="s">
        <v>108</v>
      </c>
      <c r="B46" t="s">
        <v>69</v>
      </c>
      <c r="C46" t="s">
        <v>8</v>
      </c>
      <c r="D46" t="s">
        <v>14</v>
      </c>
      <c r="E46" t="s">
        <v>14</v>
      </c>
      <c r="F46" t="s">
        <v>14</v>
      </c>
      <c r="G46" t="s">
        <v>8</v>
      </c>
      <c r="H46">
        <v>555967</v>
      </c>
      <c r="I46" s="31" t="s">
        <v>200</v>
      </c>
      <c r="J46" s="2" t="s">
        <v>201</v>
      </c>
      <c r="K46" t="s">
        <v>64</v>
      </c>
      <c r="L46" t="s">
        <v>202</v>
      </c>
      <c r="M46" s="2" t="s">
        <v>78</v>
      </c>
      <c r="N46" t="s">
        <v>155</v>
      </c>
      <c r="O46" t="s">
        <v>126</v>
      </c>
      <c r="P46" s="2" t="s">
        <v>20</v>
      </c>
      <c r="Q46" t="s">
        <v>64</v>
      </c>
      <c r="R46" t="s">
        <v>64</v>
      </c>
      <c r="S46" s="68" t="s">
        <v>203</v>
      </c>
      <c r="T46" t="s">
        <v>204</v>
      </c>
      <c r="U46" t="s">
        <v>205</v>
      </c>
      <c r="V46" s="2" t="s">
        <v>206</v>
      </c>
      <c r="W46" s="2" t="s">
        <v>65</v>
      </c>
      <c r="Z46" s="2" t="s">
        <v>129</v>
      </c>
      <c r="AA46" s="2" t="s">
        <v>130</v>
      </c>
      <c r="AB46" s="2" t="s">
        <v>66</v>
      </c>
      <c r="AC46" s="2" t="s">
        <v>67</v>
      </c>
    </row>
    <row r="47" spans="1:29" x14ac:dyDescent="0.35">
      <c r="A47" t="s">
        <v>108</v>
      </c>
      <c r="B47" t="s">
        <v>69</v>
      </c>
      <c r="C47" t="s">
        <v>8</v>
      </c>
      <c r="D47" t="s">
        <v>14</v>
      </c>
      <c r="E47" t="s">
        <v>14</v>
      </c>
      <c r="F47" t="s">
        <v>14</v>
      </c>
      <c r="G47" t="s">
        <v>8</v>
      </c>
      <c r="H47">
        <v>555967</v>
      </c>
      <c r="I47" s="31" t="s">
        <v>200</v>
      </c>
      <c r="J47" s="2" t="s">
        <v>201</v>
      </c>
      <c r="K47" t="s">
        <v>64</v>
      </c>
      <c r="L47" t="s">
        <v>202</v>
      </c>
      <c r="M47" s="2" t="s">
        <v>78</v>
      </c>
      <c r="N47" t="s">
        <v>155</v>
      </c>
      <c r="O47" t="s">
        <v>98</v>
      </c>
      <c r="P47" s="2" t="s">
        <v>20</v>
      </c>
      <c r="Q47" t="s">
        <v>64</v>
      </c>
      <c r="R47" t="s">
        <v>64</v>
      </c>
      <c r="S47" s="68" t="s">
        <v>203</v>
      </c>
      <c r="T47" t="s">
        <v>204</v>
      </c>
      <c r="U47" t="s">
        <v>205</v>
      </c>
      <c r="V47" s="2" t="s">
        <v>206</v>
      </c>
      <c r="W47" s="2" t="s">
        <v>65</v>
      </c>
      <c r="Z47" s="2" t="s">
        <v>129</v>
      </c>
      <c r="AA47" s="2" t="s">
        <v>130</v>
      </c>
      <c r="AB47" s="2" t="s">
        <v>66</v>
      </c>
      <c r="AC47" s="2" t="s">
        <v>67</v>
      </c>
    </row>
    <row r="48" spans="1:29" x14ac:dyDescent="0.35">
      <c r="A48" t="s">
        <v>108</v>
      </c>
      <c r="B48" t="s">
        <v>69</v>
      </c>
      <c r="C48" t="s">
        <v>8</v>
      </c>
      <c r="D48" t="s">
        <v>14</v>
      </c>
      <c r="E48" t="s">
        <v>14</v>
      </c>
      <c r="F48" t="s">
        <v>14</v>
      </c>
      <c r="G48" t="s">
        <v>8</v>
      </c>
      <c r="H48">
        <v>555967</v>
      </c>
      <c r="I48" s="31" t="s">
        <v>200</v>
      </c>
      <c r="J48" s="2" t="s">
        <v>201</v>
      </c>
      <c r="K48" t="s">
        <v>64</v>
      </c>
      <c r="L48" t="s">
        <v>202</v>
      </c>
      <c r="M48" s="2" t="s">
        <v>78</v>
      </c>
      <c r="N48" t="s">
        <v>155</v>
      </c>
      <c r="O48" t="s">
        <v>99</v>
      </c>
      <c r="P48" s="2" t="s">
        <v>20</v>
      </c>
      <c r="Q48" t="s">
        <v>64</v>
      </c>
      <c r="R48" t="s">
        <v>64</v>
      </c>
      <c r="S48" s="68" t="s">
        <v>203</v>
      </c>
      <c r="T48" t="s">
        <v>204</v>
      </c>
      <c r="U48" t="s">
        <v>205</v>
      </c>
      <c r="V48" s="2" t="s">
        <v>206</v>
      </c>
      <c r="W48" s="2" t="s">
        <v>65</v>
      </c>
      <c r="Z48" s="2" t="s">
        <v>129</v>
      </c>
      <c r="AA48" s="2" t="s">
        <v>130</v>
      </c>
      <c r="AB48" s="2" t="s">
        <v>66</v>
      </c>
      <c r="AC48" s="2" t="s">
        <v>67</v>
      </c>
    </row>
    <row r="49" spans="1:29" x14ac:dyDescent="0.35">
      <c r="A49" t="s">
        <v>108</v>
      </c>
      <c r="B49" t="s">
        <v>69</v>
      </c>
      <c r="C49" t="s">
        <v>8</v>
      </c>
      <c r="D49" t="s">
        <v>14</v>
      </c>
      <c r="E49" t="s">
        <v>14</v>
      </c>
      <c r="F49" t="s">
        <v>14</v>
      </c>
      <c r="G49" t="s">
        <v>8</v>
      </c>
      <c r="H49">
        <v>555967</v>
      </c>
      <c r="I49" s="31" t="s">
        <v>200</v>
      </c>
      <c r="J49" s="2" t="s">
        <v>201</v>
      </c>
      <c r="K49" t="s">
        <v>64</v>
      </c>
      <c r="L49" t="s">
        <v>202</v>
      </c>
      <c r="M49" s="2" t="s">
        <v>78</v>
      </c>
      <c r="N49" t="s">
        <v>155</v>
      </c>
      <c r="O49" t="s">
        <v>100</v>
      </c>
      <c r="P49" s="2" t="s">
        <v>20</v>
      </c>
      <c r="Q49" t="s">
        <v>64</v>
      </c>
      <c r="R49" t="s">
        <v>64</v>
      </c>
      <c r="S49" s="68" t="s">
        <v>203</v>
      </c>
      <c r="T49" t="s">
        <v>204</v>
      </c>
      <c r="U49" t="s">
        <v>205</v>
      </c>
      <c r="V49" s="2" t="s">
        <v>206</v>
      </c>
      <c r="W49" s="2" t="s">
        <v>65</v>
      </c>
      <c r="Z49" s="2" t="s">
        <v>129</v>
      </c>
      <c r="AA49" s="2" t="s">
        <v>130</v>
      </c>
      <c r="AB49" s="2" t="s">
        <v>66</v>
      </c>
      <c r="AC49" s="2" t="s">
        <v>67</v>
      </c>
    </row>
    <row r="50" spans="1:29" x14ac:dyDescent="0.35">
      <c r="A50" t="s">
        <v>108</v>
      </c>
      <c r="B50" t="s">
        <v>69</v>
      </c>
      <c r="C50" t="s">
        <v>8</v>
      </c>
      <c r="D50" t="s">
        <v>14</v>
      </c>
      <c r="E50" t="s">
        <v>14</v>
      </c>
      <c r="F50" t="s">
        <v>14</v>
      </c>
      <c r="G50" t="s">
        <v>8</v>
      </c>
      <c r="H50">
        <v>555967</v>
      </c>
      <c r="I50" s="31" t="s">
        <v>200</v>
      </c>
      <c r="J50" s="2" t="s">
        <v>201</v>
      </c>
      <c r="K50" t="s">
        <v>64</v>
      </c>
      <c r="L50" t="s">
        <v>202</v>
      </c>
      <c r="M50" s="2" t="s">
        <v>78</v>
      </c>
      <c r="N50" t="s">
        <v>155</v>
      </c>
      <c r="O50" t="s">
        <v>121</v>
      </c>
      <c r="P50" s="2" t="s">
        <v>20</v>
      </c>
      <c r="Q50" t="s">
        <v>64</v>
      </c>
      <c r="R50" t="s">
        <v>64</v>
      </c>
      <c r="S50" s="68" t="s">
        <v>203</v>
      </c>
      <c r="T50" t="s">
        <v>204</v>
      </c>
      <c r="U50" t="s">
        <v>205</v>
      </c>
      <c r="V50" s="2" t="s">
        <v>206</v>
      </c>
      <c r="W50" s="2" t="s">
        <v>65</v>
      </c>
      <c r="Z50" s="2" t="s">
        <v>129</v>
      </c>
      <c r="AA50" s="2" t="s">
        <v>130</v>
      </c>
      <c r="AB50" s="2" t="s">
        <v>66</v>
      </c>
      <c r="AC50" s="2" t="s">
        <v>67</v>
      </c>
    </row>
    <row r="51" spans="1:29" x14ac:dyDescent="0.35">
      <c r="A51" t="s">
        <v>108</v>
      </c>
      <c r="B51" t="s">
        <v>69</v>
      </c>
      <c r="C51" t="s">
        <v>8</v>
      </c>
      <c r="D51" t="s">
        <v>14</v>
      </c>
      <c r="E51" t="s">
        <v>14</v>
      </c>
      <c r="F51" t="s">
        <v>14</v>
      </c>
      <c r="G51" t="s">
        <v>8</v>
      </c>
      <c r="H51">
        <v>555967</v>
      </c>
      <c r="I51" s="31" t="s">
        <v>200</v>
      </c>
      <c r="J51" s="2" t="s">
        <v>201</v>
      </c>
      <c r="K51" t="s">
        <v>64</v>
      </c>
      <c r="L51" t="s">
        <v>202</v>
      </c>
      <c r="M51" s="2" t="s">
        <v>78</v>
      </c>
      <c r="N51" t="s">
        <v>155</v>
      </c>
      <c r="O51" t="s">
        <v>178</v>
      </c>
      <c r="P51" s="2" t="s">
        <v>20</v>
      </c>
      <c r="Q51" t="s">
        <v>64</v>
      </c>
      <c r="R51" t="s">
        <v>64</v>
      </c>
      <c r="S51" s="68" t="s">
        <v>203</v>
      </c>
      <c r="T51" t="s">
        <v>204</v>
      </c>
      <c r="U51" t="s">
        <v>205</v>
      </c>
      <c r="V51" s="2" t="s">
        <v>206</v>
      </c>
      <c r="W51" s="2" t="s">
        <v>65</v>
      </c>
      <c r="Z51" s="2" t="s">
        <v>129</v>
      </c>
      <c r="AA51" s="2" t="s">
        <v>130</v>
      </c>
      <c r="AB51" s="2" t="s">
        <v>66</v>
      </c>
      <c r="AC51" s="2" t="s">
        <v>67</v>
      </c>
    </row>
    <row r="52" spans="1:29" x14ac:dyDescent="0.35">
      <c r="A52" t="s">
        <v>108</v>
      </c>
      <c r="B52" t="s">
        <v>69</v>
      </c>
      <c r="C52" t="s">
        <v>8</v>
      </c>
      <c r="D52" t="s">
        <v>14</v>
      </c>
      <c r="E52" t="s">
        <v>14</v>
      </c>
      <c r="F52" t="s">
        <v>14</v>
      </c>
      <c r="G52" t="s">
        <v>8</v>
      </c>
      <c r="H52">
        <v>555967</v>
      </c>
      <c r="I52" s="31" t="s">
        <v>200</v>
      </c>
      <c r="J52" s="2" t="s">
        <v>201</v>
      </c>
      <c r="K52" t="s">
        <v>64</v>
      </c>
      <c r="L52" t="s">
        <v>202</v>
      </c>
      <c r="M52" s="2" t="s">
        <v>78</v>
      </c>
      <c r="N52" t="s">
        <v>155</v>
      </c>
      <c r="O52" t="s">
        <v>180</v>
      </c>
      <c r="P52" s="2" t="s">
        <v>20</v>
      </c>
      <c r="Q52" t="s">
        <v>64</v>
      </c>
      <c r="R52" t="s">
        <v>64</v>
      </c>
      <c r="S52" s="68" t="s">
        <v>203</v>
      </c>
      <c r="T52" t="s">
        <v>204</v>
      </c>
      <c r="U52" t="s">
        <v>205</v>
      </c>
      <c r="V52" s="2" t="s">
        <v>206</v>
      </c>
      <c r="W52" s="2" t="s">
        <v>65</v>
      </c>
      <c r="Z52" s="2" t="s">
        <v>129</v>
      </c>
      <c r="AA52" s="2" t="s">
        <v>130</v>
      </c>
      <c r="AB52" s="2" t="s">
        <v>66</v>
      </c>
      <c r="AC52" s="2" t="s">
        <v>67</v>
      </c>
    </row>
    <row r="53" spans="1:29" x14ac:dyDescent="0.35">
      <c r="A53" t="s">
        <v>108</v>
      </c>
      <c r="B53" t="s">
        <v>69</v>
      </c>
      <c r="C53" t="s">
        <v>8</v>
      </c>
      <c r="D53" t="s">
        <v>14</v>
      </c>
      <c r="E53" t="s">
        <v>14</v>
      </c>
      <c r="F53" t="s">
        <v>14</v>
      </c>
      <c r="G53" t="s">
        <v>8</v>
      </c>
      <c r="H53">
        <v>555967</v>
      </c>
      <c r="I53" s="31" t="s">
        <v>200</v>
      </c>
      <c r="J53" s="2" t="s">
        <v>201</v>
      </c>
      <c r="K53" t="s">
        <v>64</v>
      </c>
      <c r="L53" t="s">
        <v>202</v>
      </c>
      <c r="M53" s="2" t="s">
        <v>78</v>
      </c>
      <c r="N53" t="s">
        <v>155</v>
      </c>
      <c r="O53" t="s">
        <v>182</v>
      </c>
      <c r="P53" s="2" t="s">
        <v>20</v>
      </c>
      <c r="Q53" t="s">
        <v>64</v>
      </c>
      <c r="R53" t="s">
        <v>64</v>
      </c>
      <c r="S53" s="68" t="s">
        <v>203</v>
      </c>
      <c r="T53" t="s">
        <v>204</v>
      </c>
      <c r="U53" t="s">
        <v>205</v>
      </c>
      <c r="V53" s="2" t="s">
        <v>206</v>
      </c>
      <c r="W53" s="2" t="s">
        <v>65</v>
      </c>
      <c r="Z53" s="2" t="s">
        <v>129</v>
      </c>
      <c r="AA53" s="2" t="s">
        <v>130</v>
      </c>
      <c r="AB53" s="2" t="s">
        <v>66</v>
      </c>
      <c r="AC53" s="2" t="s">
        <v>67</v>
      </c>
    </row>
    <row r="54" spans="1:29" x14ac:dyDescent="0.35">
      <c r="A54" t="s">
        <v>108</v>
      </c>
      <c r="B54" t="s">
        <v>69</v>
      </c>
      <c r="C54" t="s">
        <v>8</v>
      </c>
      <c r="D54" t="s">
        <v>14</v>
      </c>
      <c r="E54" t="s">
        <v>14</v>
      </c>
      <c r="F54" t="s">
        <v>14</v>
      </c>
      <c r="G54" t="s">
        <v>8</v>
      </c>
      <c r="H54">
        <v>555967</v>
      </c>
      <c r="I54" s="31" t="s">
        <v>200</v>
      </c>
      <c r="J54" s="2" t="s">
        <v>201</v>
      </c>
      <c r="K54" t="s">
        <v>64</v>
      </c>
      <c r="L54" t="s">
        <v>202</v>
      </c>
      <c r="M54" s="2" t="s">
        <v>78</v>
      </c>
      <c r="N54" t="s">
        <v>155</v>
      </c>
      <c r="O54" t="s">
        <v>122</v>
      </c>
      <c r="P54" s="2" t="s">
        <v>20</v>
      </c>
      <c r="Q54" t="s">
        <v>64</v>
      </c>
      <c r="R54" t="s">
        <v>64</v>
      </c>
      <c r="S54" s="68" t="s">
        <v>203</v>
      </c>
      <c r="T54" t="s">
        <v>204</v>
      </c>
      <c r="U54" t="s">
        <v>205</v>
      </c>
      <c r="V54" s="2" t="s">
        <v>206</v>
      </c>
      <c r="W54" s="2" t="s">
        <v>65</v>
      </c>
      <c r="Z54" s="2" t="s">
        <v>129</v>
      </c>
      <c r="AA54" s="2" t="s">
        <v>130</v>
      </c>
      <c r="AB54" s="2" t="s">
        <v>66</v>
      </c>
      <c r="AC54" s="2" t="s">
        <v>67</v>
      </c>
    </row>
    <row r="55" spans="1:29" x14ac:dyDescent="0.35">
      <c r="A55" t="s">
        <v>108</v>
      </c>
      <c r="B55" t="s">
        <v>69</v>
      </c>
      <c r="C55" t="s">
        <v>8</v>
      </c>
      <c r="D55" t="s">
        <v>14</v>
      </c>
      <c r="E55" t="s">
        <v>14</v>
      </c>
      <c r="F55" t="s">
        <v>14</v>
      </c>
      <c r="G55" t="s">
        <v>8</v>
      </c>
      <c r="H55">
        <v>555967</v>
      </c>
      <c r="I55" s="31" t="s">
        <v>200</v>
      </c>
      <c r="J55" s="2" t="s">
        <v>201</v>
      </c>
      <c r="K55" t="s">
        <v>64</v>
      </c>
      <c r="L55" t="s">
        <v>202</v>
      </c>
      <c r="M55" s="2" t="s">
        <v>78</v>
      </c>
      <c r="N55" t="s">
        <v>155</v>
      </c>
      <c r="O55" t="s">
        <v>185</v>
      </c>
      <c r="P55" s="2" t="s">
        <v>20</v>
      </c>
      <c r="Q55" t="s">
        <v>64</v>
      </c>
      <c r="R55" t="s">
        <v>64</v>
      </c>
      <c r="S55" s="68" t="s">
        <v>203</v>
      </c>
      <c r="T55" t="s">
        <v>204</v>
      </c>
      <c r="U55" t="s">
        <v>205</v>
      </c>
      <c r="V55" s="2" t="s">
        <v>206</v>
      </c>
      <c r="W55" s="2" t="s">
        <v>65</v>
      </c>
      <c r="Z55" s="2" t="s">
        <v>129</v>
      </c>
      <c r="AA55" s="2" t="s">
        <v>130</v>
      </c>
      <c r="AB55" s="2" t="s">
        <v>66</v>
      </c>
      <c r="AC55" s="2" t="s">
        <v>67</v>
      </c>
    </row>
    <row r="56" spans="1:29" x14ac:dyDescent="0.35">
      <c r="A56" t="s">
        <v>108</v>
      </c>
      <c r="B56" t="s">
        <v>69</v>
      </c>
      <c r="C56" t="s">
        <v>8</v>
      </c>
      <c r="D56" t="s">
        <v>14</v>
      </c>
      <c r="E56" t="s">
        <v>14</v>
      </c>
      <c r="F56" t="s">
        <v>14</v>
      </c>
      <c r="G56" t="s">
        <v>8</v>
      </c>
      <c r="H56">
        <v>555967</v>
      </c>
      <c r="I56" s="31" t="s">
        <v>200</v>
      </c>
      <c r="J56" s="2" t="s">
        <v>201</v>
      </c>
      <c r="K56" t="s">
        <v>64</v>
      </c>
      <c r="L56" t="s">
        <v>202</v>
      </c>
      <c r="M56" s="2" t="s">
        <v>78</v>
      </c>
      <c r="N56" t="s">
        <v>155</v>
      </c>
      <c r="O56" t="s">
        <v>101</v>
      </c>
      <c r="P56" s="2" t="s">
        <v>207</v>
      </c>
      <c r="Q56" t="s">
        <v>64</v>
      </c>
      <c r="R56" t="s">
        <v>64</v>
      </c>
      <c r="S56" s="68" t="s">
        <v>203</v>
      </c>
      <c r="T56" t="s">
        <v>204</v>
      </c>
      <c r="U56" t="s">
        <v>205</v>
      </c>
      <c r="V56" s="2" t="s">
        <v>206</v>
      </c>
      <c r="W56" s="2" t="s">
        <v>65</v>
      </c>
      <c r="Z56" s="2" t="s">
        <v>129</v>
      </c>
      <c r="AA56" s="2" t="s">
        <v>130</v>
      </c>
      <c r="AB56" s="2" t="s">
        <v>66</v>
      </c>
      <c r="AC56" s="2" t="s">
        <v>67</v>
      </c>
    </row>
    <row r="57" spans="1:29" x14ac:dyDescent="0.35">
      <c r="A57" t="s">
        <v>108</v>
      </c>
      <c r="B57" t="s">
        <v>69</v>
      </c>
      <c r="C57" t="s">
        <v>8</v>
      </c>
      <c r="D57" t="s">
        <v>14</v>
      </c>
      <c r="E57" t="s">
        <v>14</v>
      </c>
      <c r="F57" t="s">
        <v>14</v>
      </c>
      <c r="G57" t="s">
        <v>8</v>
      </c>
      <c r="H57">
        <v>555967</v>
      </c>
      <c r="I57" s="31" t="s">
        <v>200</v>
      </c>
      <c r="J57" s="2" t="s">
        <v>201</v>
      </c>
      <c r="K57" t="s">
        <v>64</v>
      </c>
      <c r="L57" t="s">
        <v>202</v>
      </c>
      <c r="M57" s="2" t="s">
        <v>78</v>
      </c>
      <c r="N57" t="s">
        <v>155</v>
      </c>
      <c r="O57" t="s">
        <v>138</v>
      </c>
      <c r="P57" s="2" t="s">
        <v>20</v>
      </c>
      <c r="Q57" t="s">
        <v>64</v>
      </c>
      <c r="R57" t="s">
        <v>64</v>
      </c>
      <c r="S57" s="68" t="s">
        <v>203</v>
      </c>
      <c r="T57" t="s">
        <v>204</v>
      </c>
      <c r="U57" t="s">
        <v>205</v>
      </c>
      <c r="V57" s="2" t="s">
        <v>206</v>
      </c>
      <c r="W57" s="2" t="s">
        <v>65</v>
      </c>
      <c r="Z57" s="2" t="s">
        <v>129</v>
      </c>
      <c r="AA57" s="2" t="s">
        <v>130</v>
      </c>
      <c r="AB57" s="2" t="s">
        <v>66</v>
      </c>
      <c r="AC57" s="2" t="s">
        <v>67</v>
      </c>
    </row>
    <row r="58" spans="1:29" x14ac:dyDescent="0.35">
      <c r="A58" t="s">
        <v>108</v>
      </c>
      <c r="B58" t="s">
        <v>69</v>
      </c>
      <c r="C58" t="s">
        <v>8</v>
      </c>
      <c r="D58" t="s">
        <v>14</v>
      </c>
      <c r="E58" t="s">
        <v>14</v>
      </c>
      <c r="F58" t="s">
        <v>14</v>
      </c>
      <c r="G58" t="s">
        <v>8</v>
      </c>
      <c r="H58">
        <v>555967</v>
      </c>
      <c r="I58" s="31" t="s">
        <v>200</v>
      </c>
      <c r="J58" s="2" t="s">
        <v>201</v>
      </c>
      <c r="K58" t="s">
        <v>64</v>
      </c>
      <c r="L58" t="s">
        <v>202</v>
      </c>
      <c r="M58" s="2" t="s">
        <v>78</v>
      </c>
      <c r="N58" t="s">
        <v>155</v>
      </c>
      <c r="O58" t="s">
        <v>115</v>
      </c>
      <c r="P58" s="2" t="s">
        <v>20</v>
      </c>
      <c r="Q58" t="s">
        <v>64</v>
      </c>
      <c r="R58" t="s">
        <v>64</v>
      </c>
      <c r="S58" s="68" t="s">
        <v>203</v>
      </c>
      <c r="T58" t="s">
        <v>204</v>
      </c>
      <c r="U58" t="s">
        <v>205</v>
      </c>
      <c r="V58" s="2" t="s">
        <v>206</v>
      </c>
      <c r="W58" s="2" t="s">
        <v>65</v>
      </c>
      <c r="Z58" s="2" t="s">
        <v>129</v>
      </c>
      <c r="AA58" s="2" t="s">
        <v>130</v>
      </c>
      <c r="AB58" s="2" t="s">
        <v>66</v>
      </c>
      <c r="AC58" s="2" t="s">
        <v>67</v>
      </c>
    </row>
    <row r="59" spans="1:29" x14ac:dyDescent="0.35">
      <c r="A59" t="s">
        <v>108</v>
      </c>
      <c r="B59" t="s">
        <v>69</v>
      </c>
      <c r="C59" t="s">
        <v>8</v>
      </c>
      <c r="D59" t="s">
        <v>14</v>
      </c>
      <c r="E59" t="s">
        <v>14</v>
      </c>
      <c r="F59" t="s">
        <v>14</v>
      </c>
      <c r="G59" t="s">
        <v>8</v>
      </c>
      <c r="H59">
        <v>555967</v>
      </c>
      <c r="I59" s="31" t="s">
        <v>200</v>
      </c>
      <c r="J59" s="2" t="s">
        <v>201</v>
      </c>
      <c r="K59" t="s">
        <v>64</v>
      </c>
      <c r="L59" t="s">
        <v>202</v>
      </c>
      <c r="M59" s="2" t="s">
        <v>78</v>
      </c>
      <c r="N59" t="s">
        <v>155</v>
      </c>
      <c r="O59" t="s">
        <v>116</v>
      </c>
      <c r="P59" s="2" t="s">
        <v>20</v>
      </c>
      <c r="Q59" t="s">
        <v>64</v>
      </c>
      <c r="R59" t="s">
        <v>64</v>
      </c>
      <c r="S59" s="68" t="s">
        <v>203</v>
      </c>
      <c r="T59" t="s">
        <v>204</v>
      </c>
      <c r="U59" t="s">
        <v>205</v>
      </c>
      <c r="V59" s="2" t="s">
        <v>206</v>
      </c>
      <c r="W59" s="2" t="s">
        <v>65</v>
      </c>
      <c r="Z59" s="2" t="s">
        <v>129</v>
      </c>
      <c r="AA59" s="2" t="s">
        <v>130</v>
      </c>
      <c r="AB59" s="2" t="s">
        <v>66</v>
      </c>
      <c r="AC59" s="2" t="s">
        <v>67</v>
      </c>
    </row>
    <row r="60" spans="1:29" x14ac:dyDescent="0.35">
      <c r="A60" t="s">
        <v>108</v>
      </c>
      <c r="B60" t="s">
        <v>69</v>
      </c>
      <c r="C60" t="s">
        <v>8</v>
      </c>
      <c r="D60" t="s">
        <v>14</v>
      </c>
      <c r="E60" t="s">
        <v>14</v>
      </c>
      <c r="F60" t="s">
        <v>14</v>
      </c>
      <c r="G60" t="s">
        <v>8</v>
      </c>
      <c r="H60">
        <v>555967</v>
      </c>
      <c r="I60" s="31" t="s">
        <v>200</v>
      </c>
      <c r="J60" s="2" t="s">
        <v>201</v>
      </c>
      <c r="K60" t="s">
        <v>64</v>
      </c>
      <c r="L60" t="s">
        <v>202</v>
      </c>
      <c r="M60" s="2" t="s">
        <v>78</v>
      </c>
      <c r="N60" t="s">
        <v>155</v>
      </c>
      <c r="O60" t="s">
        <v>208</v>
      </c>
      <c r="P60" s="2" t="s">
        <v>20</v>
      </c>
      <c r="Q60" t="s">
        <v>64</v>
      </c>
      <c r="R60" t="s">
        <v>64</v>
      </c>
      <c r="S60" s="68" t="s">
        <v>203</v>
      </c>
      <c r="T60" t="s">
        <v>204</v>
      </c>
      <c r="U60" t="s">
        <v>205</v>
      </c>
      <c r="V60" s="2" t="s">
        <v>206</v>
      </c>
      <c r="W60" s="2" t="s">
        <v>65</v>
      </c>
      <c r="Z60" s="2" t="s">
        <v>129</v>
      </c>
      <c r="AA60" s="2" t="s">
        <v>130</v>
      </c>
      <c r="AB60" s="2" t="s">
        <v>66</v>
      </c>
      <c r="AC60" s="2" t="s">
        <v>67</v>
      </c>
    </row>
    <row r="61" spans="1:29" x14ac:dyDescent="0.35">
      <c r="A61" t="s">
        <v>108</v>
      </c>
      <c r="B61" t="s">
        <v>69</v>
      </c>
      <c r="C61" t="s">
        <v>8</v>
      </c>
      <c r="D61" t="s">
        <v>14</v>
      </c>
      <c r="E61" t="s">
        <v>14</v>
      </c>
      <c r="F61" t="s">
        <v>14</v>
      </c>
      <c r="G61" t="s">
        <v>8</v>
      </c>
      <c r="H61">
        <v>555967</v>
      </c>
      <c r="I61" s="31" t="s">
        <v>200</v>
      </c>
      <c r="J61" s="2" t="s">
        <v>201</v>
      </c>
      <c r="K61" t="s">
        <v>64</v>
      </c>
      <c r="L61" t="s">
        <v>202</v>
      </c>
      <c r="M61" s="2" t="s">
        <v>78</v>
      </c>
      <c r="N61" t="s">
        <v>155</v>
      </c>
      <c r="O61" t="s">
        <v>123</v>
      </c>
      <c r="P61" s="2" t="s">
        <v>20</v>
      </c>
      <c r="Q61" t="s">
        <v>64</v>
      </c>
      <c r="R61" t="s">
        <v>64</v>
      </c>
      <c r="S61" s="68" t="s">
        <v>203</v>
      </c>
      <c r="T61" t="s">
        <v>204</v>
      </c>
      <c r="U61" t="s">
        <v>205</v>
      </c>
      <c r="V61" s="2" t="s">
        <v>206</v>
      </c>
      <c r="W61" s="2" t="s">
        <v>65</v>
      </c>
      <c r="Z61" s="2" t="s">
        <v>129</v>
      </c>
      <c r="AA61" s="2" t="s">
        <v>130</v>
      </c>
      <c r="AB61" s="2" t="s">
        <v>66</v>
      </c>
      <c r="AC61" s="2" t="s">
        <v>67</v>
      </c>
    </row>
    <row r="62" spans="1:29" x14ac:dyDescent="0.35">
      <c r="A62" t="s">
        <v>108</v>
      </c>
      <c r="B62" t="s">
        <v>69</v>
      </c>
      <c r="C62" t="s">
        <v>8</v>
      </c>
      <c r="D62" t="s">
        <v>14</v>
      </c>
      <c r="E62" t="s">
        <v>14</v>
      </c>
      <c r="F62" t="s">
        <v>14</v>
      </c>
      <c r="G62" t="s">
        <v>8</v>
      </c>
      <c r="H62">
        <v>555967</v>
      </c>
      <c r="I62" s="31" t="s">
        <v>200</v>
      </c>
      <c r="J62" s="2" t="s">
        <v>201</v>
      </c>
      <c r="K62" t="s">
        <v>64</v>
      </c>
      <c r="L62" t="s">
        <v>202</v>
      </c>
      <c r="M62" s="2" t="s">
        <v>78</v>
      </c>
      <c r="N62" t="s">
        <v>155</v>
      </c>
      <c r="O62" t="s">
        <v>209</v>
      </c>
      <c r="P62" s="2" t="s">
        <v>20</v>
      </c>
      <c r="Q62" t="s">
        <v>64</v>
      </c>
      <c r="R62" t="s">
        <v>64</v>
      </c>
      <c r="S62" s="68" t="s">
        <v>203</v>
      </c>
      <c r="T62" t="s">
        <v>204</v>
      </c>
      <c r="U62" t="s">
        <v>205</v>
      </c>
      <c r="V62" s="2" t="s">
        <v>206</v>
      </c>
      <c r="W62" s="2" t="s">
        <v>65</v>
      </c>
      <c r="Z62" s="2" t="s">
        <v>129</v>
      </c>
      <c r="AA62" s="2" t="s">
        <v>130</v>
      </c>
      <c r="AB62" s="2" t="s">
        <v>66</v>
      </c>
      <c r="AC62" s="2" t="s">
        <v>67</v>
      </c>
    </row>
    <row r="63" spans="1:29" x14ac:dyDescent="0.35">
      <c r="A63" t="s">
        <v>108</v>
      </c>
      <c r="B63" t="s">
        <v>69</v>
      </c>
      <c r="C63" t="s">
        <v>8</v>
      </c>
      <c r="D63" t="s">
        <v>14</v>
      </c>
      <c r="E63" t="s">
        <v>14</v>
      </c>
      <c r="F63" t="s">
        <v>14</v>
      </c>
      <c r="G63" t="s">
        <v>8</v>
      </c>
      <c r="H63">
        <v>555967</v>
      </c>
      <c r="I63" s="31" t="s">
        <v>200</v>
      </c>
      <c r="J63" s="2" t="s">
        <v>201</v>
      </c>
      <c r="K63" t="s">
        <v>64</v>
      </c>
      <c r="L63" t="s">
        <v>202</v>
      </c>
      <c r="M63" s="2" t="s">
        <v>78</v>
      </c>
      <c r="N63" t="s">
        <v>155</v>
      </c>
      <c r="O63" t="s">
        <v>102</v>
      </c>
      <c r="P63" s="2" t="s">
        <v>164</v>
      </c>
      <c r="Q63" t="s">
        <v>64</v>
      </c>
      <c r="R63" t="s">
        <v>64</v>
      </c>
      <c r="S63" s="68" t="s">
        <v>203</v>
      </c>
      <c r="T63" t="s">
        <v>204</v>
      </c>
      <c r="U63" t="s">
        <v>205</v>
      </c>
      <c r="V63" s="2" t="s">
        <v>206</v>
      </c>
      <c r="W63" s="2" t="s">
        <v>65</v>
      </c>
      <c r="Z63" s="2" t="s">
        <v>129</v>
      </c>
      <c r="AA63" s="2" t="s">
        <v>130</v>
      </c>
      <c r="AB63" s="2" t="s">
        <v>66</v>
      </c>
      <c r="AC63" s="2" t="s">
        <v>67</v>
      </c>
    </row>
    <row r="64" spans="1:29" x14ac:dyDescent="0.35">
      <c r="A64" t="s">
        <v>108</v>
      </c>
      <c r="B64" t="s">
        <v>69</v>
      </c>
      <c r="C64" t="s">
        <v>8</v>
      </c>
      <c r="D64" t="s">
        <v>14</v>
      </c>
      <c r="E64" t="s">
        <v>14</v>
      </c>
      <c r="F64" t="s">
        <v>14</v>
      </c>
      <c r="G64" t="s">
        <v>8</v>
      </c>
      <c r="H64">
        <v>555967</v>
      </c>
      <c r="I64" s="31" t="s">
        <v>200</v>
      </c>
      <c r="J64" s="2" t="s">
        <v>201</v>
      </c>
      <c r="K64" t="s">
        <v>64</v>
      </c>
      <c r="L64" t="s">
        <v>202</v>
      </c>
      <c r="M64" s="2" t="s">
        <v>78</v>
      </c>
      <c r="N64" t="s">
        <v>155</v>
      </c>
      <c r="O64" t="s">
        <v>103</v>
      </c>
      <c r="P64" s="2" t="s">
        <v>262</v>
      </c>
      <c r="Q64" t="s">
        <v>64</v>
      </c>
      <c r="R64" t="s">
        <v>64</v>
      </c>
      <c r="S64" s="68" t="s">
        <v>203</v>
      </c>
      <c r="T64" t="s">
        <v>204</v>
      </c>
      <c r="U64" t="s">
        <v>205</v>
      </c>
      <c r="V64" s="2" t="s">
        <v>206</v>
      </c>
      <c r="W64" s="2" t="s">
        <v>65</v>
      </c>
      <c r="Z64" s="2" t="s">
        <v>129</v>
      </c>
      <c r="AA64" s="2" t="s">
        <v>130</v>
      </c>
      <c r="AB64" s="2" t="s">
        <v>66</v>
      </c>
      <c r="AC64" s="2" t="s">
        <v>67</v>
      </c>
    </row>
    <row r="65" spans="1:29" x14ac:dyDescent="0.35">
      <c r="A65" t="s">
        <v>108</v>
      </c>
      <c r="B65" t="s">
        <v>117</v>
      </c>
      <c r="C65" t="s">
        <v>210</v>
      </c>
      <c r="D65" t="s">
        <v>14</v>
      </c>
      <c r="E65" t="s">
        <v>14</v>
      </c>
      <c r="F65" t="s">
        <v>14</v>
      </c>
      <c r="G65" s="2" t="s">
        <v>117</v>
      </c>
      <c r="H65">
        <v>425892</v>
      </c>
      <c r="I65" s="31" t="s">
        <v>211</v>
      </c>
      <c r="J65" s="2" t="s">
        <v>212</v>
      </c>
      <c r="K65" t="s">
        <v>109</v>
      </c>
      <c r="L65" t="s">
        <v>118</v>
      </c>
      <c r="M65" s="2" t="s">
        <v>78</v>
      </c>
      <c r="N65" t="s">
        <v>155</v>
      </c>
      <c r="O65" t="s">
        <v>87</v>
      </c>
      <c r="P65" s="2" t="s">
        <v>20</v>
      </c>
      <c r="Q65" t="s">
        <v>64</v>
      </c>
      <c r="R65" t="s">
        <v>64</v>
      </c>
      <c r="S65" s="68" t="s">
        <v>213</v>
      </c>
      <c r="T65" t="s">
        <v>214</v>
      </c>
      <c r="U65" t="s">
        <v>215</v>
      </c>
      <c r="V65" s="2" t="s">
        <v>216</v>
      </c>
      <c r="W65" s="2" t="s">
        <v>65</v>
      </c>
      <c r="Z65" s="2" t="s">
        <v>119</v>
      </c>
      <c r="AA65" s="2" t="s">
        <v>120</v>
      </c>
      <c r="AB65" s="2" t="s">
        <v>66</v>
      </c>
      <c r="AC65" s="2" t="s">
        <v>67</v>
      </c>
    </row>
    <row r="66" spans="1:29" x14ac:dyDescent="0.35">
      <c r="A66" t="s">
        <v>108</v>
      </c>
      <c r="B66" t="s">
        <v>117</v>
      </c>
      <c r="C66" t="s">
        <v>210</v>
      </c>
      <c r="D66" t="s">
        <v>14</v>
      </c>
      <c r="E66" t="s">
        <v>14</v>
      </c>
      <c r="F66" t="s">
        <v>14</v>
      </c>
      <c r="G66" s="2" t="s">
        <v>117</v>
      </c>
      <c r="H66">
        <v>425892</v>
      </c>
      <c r="I66" s="31" t="s">
        <v>211</v>
      </c>
      <c r="J66" s="2" t="s">
        <v>212</v>
      </c>
      <c r="K66" t="s">
        <v>109</v>
      </c>
      <c r="L66" t="s">
        <v>118</v>
      </c>
      <c r="M66" s="2" t="s">
        <v>78</v>
      </c>
      <c r="N66" t="s">
        <v>155</v>
      </c>
      <c r="O66" t="s">
        <v>88</v>
      </c>
      <c r="P66" s="2" t="s">
        <v>20</v>
      </c>
      <c r="Q66" t="s">
        <v>64</v>
      </c>
      <c r="R66" t="s">
        <v>64</v>
      </c>
      <c r="S66" s="68" t="s">
        <v>213</v>
      </c>
      <c r="T66" t="s">
        <v>214</v>
      </c>
      <c r="U66" t="s">
        <v>217</v>
      </c>
      <c r="V66" s="2" t="s">
        <v>216</v>
      </c>
      <c r="W66" s="2" t="s">
        <v>65</v>
      </c>
      <c r="Z66" s="2" t="s">
        <v>119</v>
      </c>
      <c r="AA66" s="2" t="s">
        <v>120</v>
      </c>
      <c r="AB66" s="2" t="s">
        <v>66</v>
      </c>
      <c r="AC66" s="2" t="s">
        <v>67</v>
      </c>
    </row>
    <row r="67" spans="1:29" x14ac:dyDescent="0.35">
      <c r="A67" t="s">
        <v>108</v>
      </c>
      <c r="B67" t="s">
        <v>117</v>
      </c>
      <c r="C67" t="s">
        <v>210</v>
      </c>
      <c r="D67" t="s">
        <v>14</v>
      </c>
      <c r="E67" t="s">
        <v>14</v>
      </c>
      <c r="F67" t="s">
        <v>14</v>
      </c>
      <c r="G67" s="2" t="s">
        <v>117</v>
      </c>
      <c r="H67">
        <v>425892</v>
      </c>
      <c r="I67" s="31" t="s">
        <v>211</v>
      </c>
      <c r="J67" s="2" t="s">
        <v>212</v>
      </c>
      <c r="K67" t="s">
        <v>109</v>
      </c>
      <c r="L67" t="s">
        <v>118</v>
      </c>
      <c r="M67" s="2" t="s">
        <v>78</v>
      </c>
      <c r="N67" t="s">
        <v>155</v>
      </c>
      <c r="O67" t="s">
        <v>89</v>
      </c>
      <c r="P67" s="2" t="s">
        <v>20</v>
      </c>
      <c r="Q67" t="s">
        <v>64</v>
      </c>
      <c r="R67" t="s">
        <v>64</v>
      </c>
      <c r="S67" s="68" t="s">
        <v>213</v>
      </c>
      <c r="T67" t="s">
        <v>214</v>
      </c>
      <c r="U67" t="s">
        <v>218</v>
      </c>
      <c r="V67" s="2" t="s">
        <v>216</v>
      </c>
      <c r="W67" s="2" t="s">
        <v>65</v>
      </c>
      <c r="Z67" s="2" t="s">
        <v>119</v>
      </c>
      <c r="AA67" s="2" t="s">
        <v>120</v>
      </c>
      <c r="AB67" s="2" t="s">
        <v>66</v>
      </c>
      <c r="AC67" s="2" t="s">
        <v>67</v>
      </c>
    </row>
    <row r="68" spans="1:29" x14ac:dyDescent="0.35">
      <c r="A68" t="s">
        <v>108</v>
      </c>
      <c r="B68" t="s">
        <v>117</v>
      </c>
      <c r="C68" t="s">
        <v>210</v>
      </c>
      <c r="D68" t="s">
        <v>14</v>
      </c>
      <c r="E68" t="s">
        <v>14</v>
      </c>
      <c r="F68" t="s">
        <v>14</v>
      </c>
      <c r="G68" s="2" t="s">
        <v>117</v>
      </c>
      <c r="H68">
        <v>425892</v>
      </c>
      <c r="I68" s="31" t="s">
        <v>211</v>
      </c>
      <c r="J68" s="2" t="s">
        <v>212</v>
      </c>
      <c r="K68" t="s">
        <v>109</v>
      </c>
      <c r="L68" t="s">
        <v>118</v>
      </c>
      <c r="M68" s="2" t="s">
        <v>78</v>
      </c>
      <c r="N68" t="s">
        <v>155</v>
      </c>
      <c r="O68" t="s">
        <v>90</v>
      </c>
      <c r="P68" s="2" t="s">
        <v>20</v>
      </c>
      <c r="Q68" t="s">
        <v>64</v>
      </c>
      <c r="R68" t="s">
        <v>64</v>
      </c>
      <c r="S68" s="68" t="s">
        <v>213</v>
      </c>
      <c r="T68" t="s">
        <v>214</v>
      </c>
      <c r="U68" t="s">
        <v>219</v>
      </c>
      <c r="V68" s="2" t="s">
        <v>216</v>
      </c>
      <c r="W68" s="2" t="s">
        <v>65</v>
      </c>
      <c r="Z68" s="2" t="s">
        <v>119</v>
      </c>
      <c r="AA68" s="2" t="s">
        <v>120</v>
      </c>
      <c r="AB68" s="2" t="s">
        <v>66</v>
      </c>
      <c r="AC68" s="2" t="s">
        <v>67</v>
      </c>
    </row>
    <row r="69" spans="1:29" x14ac:dyDescent="0.35">
      <c r="A69" t="s">
        <v>108</v>
      </c>
      <c r="B69" t="s">
        <v>117</v>
      </c>
      <c r="C69" t="s">
        <v>210</v>
      </c>
      <c r="D69" t="s">
        <v>14</v>
      </c>
      <c r="E69" t="s">
        <v>14</v>
      </c>
      <c r="F69" t="s">
        <v>14</v>
      </c>
      <c r="G69" s="2" t="s">
        <v>117</v>
      </c>
      <c r="H69">
        <v>425892</v>
      </c>
      <c r="I69" s="31" t="s">
        <v>211</v>
      </c>
      <c r="J69" s="2" t="s">
        <v>212</v>
      </c>
      <c r="K69" t="s">
        <v>109</v>
      </c>
      <c r="L69" t="s">
        <v>118</v>
      </c>
      <c r="M69" s="2" t="s">
        <v>78</v>
      </c>
      <c r="N69" t="s">
        <v>155</v>
      </c>
      <c r="O69" t="s">
        <v>35</v>
      </c>
      <c r="P69" s="2" t="s">
        <v>20</v>
      </c>
      <c r="Q69" t="s">
        <v>64</v>
      </c>
      <c r="R69" t="s">
        <v>64</v>
      </c>
      <c r="S69" s="68" t="s">
        <v>213</v>
      </c>
      <c r="T69" t="s">
        <v>214</v>
      </c>
      <c r="U69" t="s">
        <v>220</v>
      </c>
      <c r="V69" s="2" t="s">
        <v>216</v>
      </c>
      <c r="W69" s="2" t="s">
        <v>65</v>
      </c>
      <c r="Z69" s="2" t="s">
        <v>119</v>
      </c>
      <c r="AA69" s="2" t="s">
        <v>120</v>
      </c>
      <c r="AB69" s="2" t="s">
        <v>66</v>
      </c>
      <c r="AC69" s="2" t="s">
        <v>67</v>
      </c>
    </row>
    <row r="70" spans="1:29" x14ac:dyDescent="0.35">
      <c r="A70" t="s">
        <v>108</v>
      </c>
      <c r="B70" t="s">
        <v>117</v>
      </c>
      <c r="C70" t="s">
        <v>210</v>
      </c>
      <c r="D70" t="s">
        <v>14</v>
      </c>
      <c r="E70" t="s">
        <v>14</v>
      </c>
      <c r="F70" t="s">
        <v>14</v>
      </c>
      <c r="G70" s="2" t="s">
        <v>117</v>
      </c>
      <c r="H70">
        <v>425892</v>
      </c>
      <c r="I70" s="31" t="s">
        <v>211</v>
      </c>
      <c r="J70" s="2" t="s">
        <v>212</v>
      </c>
      <c r="K70" t="s">
        <v>109</v>
      </c>
      <c r="L70" t="s">
        <v>118</v>
      </c>
      <c r="M70" s="2" t="s">
        <v>78</v>
      </c>
      <c r="N70" t="s">
        <v>155</v>
      </c>
      <c r="O70" t="s">
        <v>91</v>
      </c>
      <c r="P70" s="2" t="s">
        <v>164</v>
      </c>
      <c r="Q70" t="s">
        <v>64</v>
      </c>
      <c r="R70" t="s">
        <v>64</v>
      </c>
      <c r="S70" s="68" t="s">
        <v>213</v>
      </c>
      <c r="T70" t="s">
        <v>214</v>
      </c>
      <c r="U70" t="s">
        <v>221</v>
      </c>
      <c r="V70" s="2" t="s">
        <v>216</v>
      </c>
      <c r="W70" s="2" t="s">
        <v>65</v>
      </c>
      <c r="Z70" s="2" t="s">
        <v>119</v>
      </c>
      <c r="AA70" s="2" t="s">
        <v>120</v>
      </c>
      <c r="AB70" s="2" t="s">
        <v>66</v>
      </c>
      <c r="AC70" s="2" t="s">
        <v>67</v>
      </c>
    </row>
    <row r="71" spans="1:29" x14ac:dyDescent="0.35">
      <c r="A71" t="s">
        <v>108</v>
      </c>
      <c r="B71" t="s">
        <v>117</v>
      </c>
      <c r="C71" t="s">
        <v>210</v>
      </c>
      <c r="D71" t="s">
        <v>14</v>
      </c>
      <c r="E71" t="s">
        <v>14</v>
      </c>
      <c r="F71" t="s">
        <v>14</v>
      </c>
      <c r="G71" s="2" t="s">
        <v>117</v>
      </c>
      <c r="H71">
        <v>425892</v>
      </c>
      <c r="I71" s="31" t="s">
        <v>211</v>
      </c>
      <c r="J71" s="2" t="s">
        <v>212</v>
      </c>
      <c r="K71" t="s">
        <v>109</v>
      </c>
      <c r="L71" t="s">
        <v>118</v>
      </c>
      <c r="M71" s="2" t="s">
        <v>78</v>
      </c>
      <c r="N71" t="s">
        <v>155</v>
      </c>
      <c r="O71" t="s">
        <v>92</v>
      </c>
      <c r="P71" s="2" t="s">
        <v>20</v>
      </c>
      <c r="Q71" t="s">
        <v>64</v>
      </c>
      <c r="R71" t="s">
        <v>64</v>
      </c>
      <c r="S71" s="68" t="s">
        <v>213</v>
      </c>
      <c r="T71" t="s">
        <v>214</v>
      </c>
      <c r="U71" t="s">
        <v>222</v>
      </c>
      <c r="V71" s="2" t="s">
        <v>216</v>
      </c>
      <c r="W71" s="2" t="s">
        <v>65</v>
      </c>
      <c r="Z71" s="2" t="s">
        <v>119</v>
      </c>
      <c r="AA71" s="2" t="s">
        <v>120</v>
      </c>
      <c r="AB71" s="2" t="s">
        <v>66</v>
      </c>
      <c r="AC71" s="2" t="s">
        <v>67</v>
      </c>
    </row>
    <row r="72" spans="1:29" x14ac:dyDescent="0.35">
      <c r="A72" t="s">
        <v>108</v>
      </c>
      <c r="B72" t="s">
        <v>117</v>
      </c>
      <c r="C72" t="s">
        <v>210</v>
      </c>
      <c r="D72" t="s">
        <v>14</v>
      </c>
      <c r="E72" t="s">
        <v>14</v>
      </c>
      <c r="F72" t="s">
        <v>14</v>
      </c>
      <c r="G72" s="2" t="s">
        <v>117</v>
      </c>
      <c r="H72">
        <v>425892</v>
      </c>
      <c r="I72" s="31" t="s">
        <v>211</v>
      </c>
      <c r="J72" s="2" t="s">
        <v>212</v>
      </c>
      <c r="K72" t="s">
        <v>109</v>
      </c>
      <c r="L72" t="s">
        <v>118</v>
      </c>
      <c r="M72" s="2" t="s">
        <v>78</v>
      </c>
      <c r="N72" t="s">
        <v>155</v>
      </c>
      <c r="O72" t="s">
        <v>93</v>
      </c>
      <c r="P72" s="2" t="s">
        <v>20</v>
      </c>
      <c r="Q72" t="s">
        <v>64</v>
      </c>
      <c r="R72" t="s">
        <v>64</v>
      </c>
      <c r="S72" s="68" t="s">
        <v>213</v>
      </c>
      <c r="T72" t="s">
        <v>214</v>
      </c>
      <c r="U72" t="s">
        <v>223</v>
      </c>
      <c r="V72" s="2" t="s">
        <v>216</v>
      </c>
      <c r="W72" s="2" t="s">
        <v>65</v>
      </c>
      <c r="Z72" s="2" t="s">
        <v>119</v>
      </c>
      <c r="AA72" s="2" t="s">
        <v>120</v>
      </c>
      <c r="AB72" s="2" t="s">
        <v>66</v>
      </c>
      <c r="AC72" s="2" t="s">
        <v>67</v>
      </c>
    </row>
    <row r="73" spans="1:29" x14ac:dyDescent="0.35">
      <c r="A73" t="s">
        <v>108</v>
      </c>
      <c r="B73" t="s">
        <v>117</v>
      </c>
      <c r="C73" t="s">
        <v>210</v>
      </c>
      <c r="D73" t="s">
        <v>14</v>
      </c>
      <c r="E73" t="s">
        <v>14</v>
      </c>
      <c r="F73" t="s">
        <v>14</v>
      </c>
      <c r="G73" s="2" t="s">
        <v>117</v>
      </c>
      <c r="H73">
        <v>425892</v>
      </c>
      <c r="I73" s="31" t="s">
        <v>211</v>
      </c>
      <c r="J73" s="2" t="s">
        <v>212</v>
      </c>
      <c r="K73" t="s">
        <v>109</v>
      </c>
      <c r="L73" t="s">
        <v>118</v>
      </c>
      <c r="M73" s="2" t="s">
        <v>78</v>
      </c>
      <c r="N73" t="s">
        <v>155</v>
      </c>
      <c r="O73" t="s">
        <v>94</v>
      </c>
      <c r="P73" s="2" t="s">
        <v>164</v>
      </c>
      <c r="Q73" t="s">
        <v>64</v>
      </c>
      <c r="R73" t="s">
        <v>64</v>
      </c>
      <c r="S73" s="68" t="s">
        <v>213</v>
      </c>
      <c r="T73" t="s">
        <v>214</v>
      </c>
      <c r="U73" t="s">
        <v>224</v>
      </c>
      <c r="V73" s="2" t="s">
        <v>216</v>
      </c>
      <c r="W73" s="2" t="s">
        <v>65</v>
      </c>
      <c r="Z73" s="2" t="s">
        <v>119</v>
      </c>
      <c r="AA73" s="2" t="s">
        <v>120</v>
      </c>
      <c r="AB73" s="2" t="s">
        <v>66</v>
      </c>
      <c r="AC73" s="2" t="s">
        <v>67</v>
      </c>
    </row>
    <row r="74" spans="1:29" x14ac:dyDescent="0.35">
      <c r="A74" t="s">
        <v>108</v>
      </c>
      <c r="B74" t="s">
        <v>117</v>
      </c>
      <c r="C74" t="s">
        <v>210</v>
      </c>
      <c r="D74" t="s">
        <v>14</v>
      </c>
      <c r="E74" t="s">
        <v>14</v>
      </c>
      <c r="F74" t="s">
        <v>14</v>
      </c>
      <c r="G74" s="2" t="s">
        <v>117</v>
      </c>
      <c r="H74">
        <v>425892</v>
      </c>
      <c r="I74" s="31" t="s">
        <v>211</v>
      </c>
      <c r="J74" s="2" t="s">
        <v>212</v>
      </c>
      <c r="K74" t="s">
        <v>109</v>
      </c>
      <c r="L74" t="s">
        <v>118</v>
      </c>
      <c r="M74" s="2" t="s">
        <v>78</v>
      </c>
      <c r="N74" t="s">
        <v>155</v>
      </c>
      <c r="O74" t="s">
        <v>95</v>
      </c>
      <c r="P74" s="2" t="s">
        <v>164</v>
      </c>
      <c r="Q74" t="s">
        <v>64</v>
      </c>
      <c r="R74" t="s">
        <v>64</v>
      </c>
      <c r="S74" s="68" t="s">
        <v>213</v>
      </c>
      <c r="T74" t="s">
        <v>214</v>
      </c>
      <c r="U74" t="s">
        <v>225</v>
      </c>
      <c r="V74" s="2" t="s">
        <v>216</v>
      </c>
      <c r="W74" s="2" t="s">
        <v>65</v>
      </c>
      <c r="Z74" s="2" t="s">
        <v>119</v>
      </c>
      <c r="AA74" s="2" t="s">
        <v>120</v>
      </c>
      <c r="AB74" s="2" t="s">
        <v>66</v>
      </c>
      <c r="AC74" s="2" t="s">
        <v>67</v>
      </c>
    </row>
    <row r="75" spans="1:29" x14ac:dyDescent="0.35">
      <c r="A75" t="s">
        <v>108</v>
      </c>
      <c r="B75" t="s">
        <v>117</v>
      </c>
      <c r="C75" t="s">
        <v>210</v>
      </c>
      <c r="D75" t="s">
        <v>14</v>
      </c>
      <c r="E75" t="s">
        <v>14</v>
      </c>
      <c r="F75" t="s">
        <v>14</v>
      </c>
      <c r="G75" s="2" t="s">
        <v>117</v>
      </c>
      <c r="H75">
        <v>425892</v>
      </c>
      <c r="I75" s="31" t="s">
        <v>211</v>
      </c>
      <c r="J75" s="2" t="s">
        <v>212</v>
      </c>
      <c r="K75" t="s">
        <v>109</v>
      </c>
      <c r="L75" t="s">
        <v>118</v>
      </c>
      <c r="M75" s="2" t="s">
        <v>78</v>
      </c>
      <c r="N75" t="s">
        <v>155</v>
      </c>
      <c r="O75" t="s">
        <v>96</v>
      </c>
      <c r="P75" s="2" t="s">
        <v>164</v>
      </c>
      <c r="Q75" t="s">
        <v>64</v>
      </c>
      <c r="R75" t="s">
        <v>64</v>
      </c>
      <c r="S75" s="68" t="s">
        <v>213</v>
      </c>
      <c r="T75" t="s">
        <v>214</v>
      </c>
      <c r="U75" t="s">
        <v>226</v>
      </c>
      <c r="V75" s="2" t="s">
        <v>216</v>
      </c>
      <c r="W75" s="2" t="s">
        <v>65</v>
      </c>
      <c r="Z75" s="2" t="s">
        <v>119</v>
      </c>
      <c r="AA75" s="2" t="s">
        <v>120</v>
      </c>
      <c r="AB75" s="2" t="s">
        <v>66</v>
      </c>
      <c r="AC75" s="2" t="s">
        <v>67</v>
      </c>
    </row>
    <row r="76" spans="1:29" x14ac:dyDescent="0.35">
      <c r="A76" t="s">
        <v>108</v>
      </c>
      <c r="B76" t="s">
        <v>117</v>
      </c>
      <c r="C76" t="s">
        <v>210</v>
      </c>
      <c r="D76" t="s">
        <v>14</v>
      </c>
      <c r="E76" t="s">
        <v>14</v>
      </c>
      <c r="F76" t="s">
        <v>14</v>
      </c>
      <c r="G76" s="2" t="s">
        <v>117</v>
      </c>
      <c r="H76">
        <v>425892</v>
      </c>
      <c r="I76" s="31" t="s">
        <v>211</v>
      </c>
      <c r="J76" s="2" t="s">
        <v>212</v>
      </c>
      <c r="K76" t="s">
        <v>109</v>
      </c>
      <c r="L76" t="s">
        <v>118</v>
      </c>
      <c r="M76" s="2" t="s">
        <v>78</v>
      </c>
      <c r="N76" t="s">
        <v>155</v>
      </c>
      <c r="O76" t="s">
        <v>97</v>
      </c>
      <c r="P76" s="2" t="s">
        <v>164</v>
      </c>
      <c r="Q76" t="s">
        <v>64</v>
      </c>
      <c r="R76" t="s">
        <v>64</v>
      </c>
      <c r="S76" s="68" t="s">
        <v>213</v>
      </c>
      <c r="T76" t="s">
        <v>214</v>
      </c>
      <c r="U76" t="s">
        <v>227</v>
      </c>
      <c r="V76" s="2" t="s">
        <v>216</v>
      </c>
      <c r="W76" s="2" t="s">
        <v>65</v>
      </c>
      <c r="Z76" s="2" t="s">
        <v>119</v>
      </c>
      <c r="AA76" s="2" t="s">
        <v>120</v>
      </c>
      <c r="AB76" s="2" t="s">
        <v>66</v>
      </c>
      <c r="AC76" s="2" t="s">
        <v>67</v>
      </c>
    </row>
    <row r="77" spans="1:29" x14ac:dyDescent="0.35">
      <c r="A77" t="s">
        <v>108</v>
      </c>
      <c r="B77" t="s">
        <v>117</v>
      </c>
      <c r="C77" t="s">
        <v>210</v>
      </c>
      <c r="D77" t="s">
        <v>14</v>
      </c>
      <c r="E77" t="s">
        <v>14</v>
      </c>
      <c r="F77" t="s">
        <v>14</v>
      </c>
      <c r="G77" s="2" t="s">
        <v>117</v>
      </c>
      <c r="H77">
        <v>425892</v>
      </c>
      <c r="I77" s="31" t="s">
        <v>211</v>
      </c>
      <c r="J77" s="2" t="s">
        <v>212</v>
      </c>
      <c r="K77" t="s">
        <v>109</v>
      </c>
      <c r="L77" t="s">
        <v>118</v>
      </c>
      <c r="M77" s="2" t="s">
        <v>78</v>
      </c>
      <c r="N77" t="s">
        <v>155</v>
      </c>
      <c r="O77" t="s">
        <v>125</v>
      </c>
      <c r="P77" s="2" t="s">
        <v>20</v>
      </c>
      <c r="Q77" t="s">
        <v>64</v>
      </c>
      <c r="R77" t="s">
        <v>64</v>
      </c>
      <c r="S77" s="68" t="s">
        <v>213</v>
      </c>
      <c r="T77" t="s">
        <v>214</v>
      </c>
      <c r="U77" t="s">
        <v>228</v>
      </c>
      <c r="V77" s="2" t="s">
        <v>216</v>
      </c>
      <c r="W77" s="2" t="s">
        <v>65</v>
      </c>
      <c r="Z77" s="2" t="s">
        <v>119</v>
      </c>
      <c r="AA77" s="2" t="s">
        <v>120</v>
      </c>
      <c r="AB77" s="2" t="s">
        <v>66</v>
      </c>
      <c r="AC77" s="2" t="s">
        <v>67</v>
      </c>
    </row>
    <row r="78" spans="1:29" x14ac:dyDescent="0.35">
      <c r="A78" t="s">
        <v>108</v>
      </c>
      <c r="B78" t="s">
        <v>117</v>
      </c>
      <c r="C78" t="s">
        <v>210</v>
      </c>
      <c r="D78" t="s">
        <v>14</v>
      </c>
      <c r="E78" t="s">
        <v>14</v>
      </c>
      <c r="F78" t="s">
        <v>14</v>
      </c>
      <c r="G78" s="2" t="s">
        <v>117</v>
      </c>
      <c r="H78">
        <v>425892</v>
      </c>
      <c r="I78" s="31" t="s">
        <v>211</v>
      </c>
      <c r="J78" s="2" t="s">
        <v>212</v>
      </c>
      <c r="K78" t="s">
        <v>109</v>
      </c>
      <c r="L78" t="s">
        <v>118</v>
      </c>
      <c r="M78" s="2" t="s">
        <v>78</v>
      </c>
      <c r="N78" t="s">
        <v>155</v>
      </c>
      <c r="O78" t="s">
        <v>126</v>
      </c>
      <c r="P78" s="2" t="s">
        <v>20</v>
      </c>
      <c r="Q78" t="s">
        <v>64</v>
      </c>
      <c r="R78" t="s">
        <v>64</v>
      </c>
      <c r="S78" s="68" t="s">
        <v>213</v>
      </c>
      <c r="T78" t="s">
        <v>214</v>
      </c>
      <c r="U78" t="s">
        <v>229</v>
      </c>
      <c r="V78" s="2" t="s">
        <v>216</v>
      </c>
      <c r="W78" s="2" t="s">
        <v>65</v>
      </c>
      <c r="Z78" s="2" t="s">
        <v>119</v>
      </c>
      <c r="AA78" s="2" t="s">
        <v>120</v>
      </c>
      <c r="AB78" s="2" t="s">
        <v>66</v>
      </c>
      <c r="AC78" s="2" t="s">
        <v>67</v>
      </c>
    </row>
    <row r="79" spans="1:29" x14ac:dyDescent="0.35">
      <c r="A79" t="s">
        <v>108</v>
      </c>
      <c r="B79" t="s">
        <v>117</v>
      </c>
      <c r="C79" t="s">
        <v>210</v>
      </c>
      <c r="D79" t="s">
        <v>14</v>
      </c>
      <c r="E79" t="s">
        <v>14</v>
      </c>
      <c r="F79" t="s">
        <v>14</v>
      </c>
      <c r="G79" s="2" t="s">
        <v>117</v>
      </c>
      <c r="H79">
        <v>425892</v>
      </c>
      <c r="I79" s="31" t="s">
        <v>211</v>
      </c>
      <c r="J79" s="2" t="s">
        <v>212</v>
      </c>
      <c r="K79" t="s">
        <v>109</v>
      </c>
      <c r="L79" t="s">
        <v>118</v>
      </c>
      <c r="M79" s="2" t="s">
        <v>78</v>
      </c>
      <c r="N79" t="s">
        <v>155</v>
      </c>
      <c r="O79" t="s">
        <v>98</v>
      </c>
      <c r="P79" s="2" t="s">
        <v>20</v>
      </c>
      <c r="Q79" t="s">
        <v>64</v>
      </c>
      <c r="R79" t="s">
        <v>64</v>
      </c>
      <c r="S79" s="68" t="s">
        <v>213</v>
      </c>
      <c r="T79" t="s">
        <v>214</v>
      </c>
      <c r="U79" t="s">
        <v>230</v>
      </c>
      <c r="V79" s="2" t="s">
        <v>216</v>
      </c>
      <c r="W79" s="2" t="s">
        <v>65</v>
      </c>
      <c r="Z79" s="2" t="s">
        <v>119</v>
      </c>
      <c r="AA79" s="2" t="s">
        <v>120</v>
      </c>
      <c r="AB79" s="2" t="s">
        <v>66</v>
      </c>
      <c r="AC79" s="2" t="s">
        <v>67</v>
      </c>
    </row>
    <row r="80" spans="1:29" x14ac:dyDescent="0.35">
      <c r="A80" t="s">
        <v>108</v>
      </c>
      <c r="B80" t="s">
        <v>117</v>
      </c>
      <c r="C80" t="s">
        <v>210</v>
      </c>
      <c r="D80" t="s">
        <v>14</v>
      </c>
      <c r="E80" t="s">
        <v>14</v>
      </c>
      <c r="F80" t="s">
        <v>14</v>
      </c>
      <c r="G80" s="2" t="s">
        <v>117</v>
      </c>
      <c r="H80">
        <v>425892</v>
      </c>
      <c r="I80" s="31" t="s">
        <v>211</v>
      </c>
      <c r="J80" s="2" t="s">
        <v>212</v>
      </c>
      <c r="K80" t="s">
        <v>109</v>
      </c>
      <c r="L80" t="s">
        <v>118</v>
      </c>
      <c r="M80" s="2" t="s">
        <v>78</v>
      </c>
      <c r="N80" t="s">
        <v>155</v>
      </c>
      <c r="O80" t="s">
        <v>99</v>
      </c>
      <c r="P80" s="2" t="s">
        <v>20</v>
      </c>
      <c r="Q80" t="s">
        <v>64</v>
      </c>
      <c r="R80" t="s">
        <v>64</v>
      </c>
      <c r="S80" s="68" t="s">
        <v>213</v>
      </c>
      <c r="T80" t="s">
        <v>214</v>
      </c>
      <c r="U80" t="s">
        <v>231</v>
      </c>
      <c r="V80" s="2" t="s">
        <v>216</v>
      </c>
      <c r="W80" s="2" t="s">
        <v>65</v>
      </c>
      <c r="Z80" s="2" t="s">
        <v>119</v>
      </c>
      <c r="AA80" s="2" t="s">
        <v>120</v>
      </c>
      <c r="AB80" s="2" t="s">
        <v>66</v>
      </c>
      <c r="AC80" s="2" t="s">
        <v>67</v>
      </c>
    </row>
    <row r="81" spans="1:29" x14ac:dyDescent="0.35">
      <c r="A81" t="s">
        <v>108</v>
      </c>
      <c r="B81" t="s">
        <v>117</v>
      </c>
      <c r="C81" t="s">
        <v>210</v>
      </c>
      <c r="D81" t="s">
        <v>14</v>
      </c>
      <c r="E81" t="s">
        <v>14</v>
      </c>
      <c r="F81" t="s">
        <v>14</v>
      </c>
      <c r="G81" s="2" t="s">
        <v>117</v>
      </c>
      <c r="H81">
        <v>425892</v>
      </c>
      <c r="I81" s="31" t="s">
        <v>211</v>
      </c>
      <c r="J81" s="2" t="s">
        <v>212</v>
      </c>
      <c r="K81" t="s">
        <v>109</v>
      </c>
      <c r="L81" t="s">
        <v>118</v>
      </c>
      <c r="M81" s="2" t="s">
        <v>78</v>
      </c>
      <c r="N81" t="s">
        <v>155</v>
      </c>
      <c r="O81" t="s">
        <v>100</v>
      </c>
      <c r="P81" s="2" t="s">
        <v>20</v>
      </c>
      <c r="Q81" t="s">
        <v>64</v>
      </c>
      <c r="R81" t="s">
        <v>64</v>
      </c>
      <c r="S81" s="68" t="s">
        <v>213</v>
      </c>
      <c r="T81" t="s">
        <v>214</v>
      </c>
      <c r="U81" t="s">
        <v>232</v>
      </c>
      <c r="V81" s="2" t="s">
        <v>216</v>
      </c>
      <c r="W81" s="2" t="s">
        <v>65</v>
      </c>
      <c r="Z81" s="2" t="s">
        <v>119</v>
      </c>
      <c r="AA81" s="2" t="s">
        <v>120</v>
      </c>
      <c r="AB81" s="2" t="s">
        <v>66</v>
      </c>
      <c r="AC81" s="2" t="s">
        <v>67</v>
      </c>
    </row>
    <row r="82" spans="1:29" x14ac:dyDescent="0.35">
      <c r="A82" t="s">
        <v>108</v>
      </c>
      <c r="B82" t="s">
        <v>117</v>
      </c>
      <c r="C82" t="s">
        <v>210</v>
      </c>
      <c r="D82" t="s">
        <v>14</v>
      </c>
      <c r="E82" t="s">
        <v>14</v>
      </c>
      <c r="F82" t="s">
        <v>14</v>
      </c>
      <c r="G82" s="2" t="s">
        <v>117</v>
      </c>
      <c r="H82">
        <v>425892</v>
      </c>
      <c r="I82" s="31" t="s">
        <v>211</v>
      </c>
      <c r="J82" s="2" t="s">
        <v>212</v>
      </c>
      <c r="K82" t="s">
        <v>109</v>
      </c>
      <c r="L82" t="s">
        <v>118</v>
      </c>
      <c r="M82" s="2" t="s">
        <v>78</v>
      </c>
      <c r="N82" t="s">
        <v>155</v>
      </c>
      <c r="O82" t="s">
        <v>121</v>
      </c>
      <c r="P82" s="2" t="s">
        <v>20</v>
      </c>
      <c r="Q82" t="s">
        <v>64</v>
      </c>
      <c r="R82" t="s">
        <v>64</v>
      </c>
      <c r="S82" s="68" t="s">
        <v>213</v>
      </c>
      <c r="T82" t="s">
        <v>214</v>
      </c>
      <c r="U82" t="s">
        <v>233</v>
      </c>
      <c r="V82" s="2" t="s">
        <v>216</v>
      </c>
      <c r="W82" s="2" t="s">
        <v>65</v>
      </c>
      <c r="Z82" s="2" t="s">
        <v>119</v>
      </c>
      <c r="AA82" s="2" t="s">
        <v>120</v>
      </c>
      <c r="AB82" s="2" t="s">
        <v>66</v>
      </c>
      <c r="AC82" s="2" t="s">
        <v>67</v>
      </c>
    </row>
    <row r="83" spans="1:29" x14ac:dyDescent="0.35">
      <c r="A83" t="s">
        <v>108</v>
      </c>
      <c r="B83" t="s">
        <v>117</v>
      </c>
      <c r="C83" t="s">
        <v>210</v>
      </c>
      <c r="D83" t="s">
        <v>14</v>
      </c>
      <c r="E83" t="s">
        <v>14</v>
      </c>
      <c r="F83" t="s">
        <v>14</v>
      </c>
      <c r="G83" s="2" t="s">
        <v>117</v>
      </c>
      <c r="H83">
        <v>425892</v>
      </c>
      <c r="I83" s="31" t="s">
        <v>211</v>
      </c>
      <c r="J83" s="2" t="s">
        <v>212</v>
      </c>
      <c r="K83" t="s">
        <v>109</v>
      </c>
      <c r="L83" t="s">
        <v>118</v>
      </c>
      <c r="M83" s="2" t="s">
        <v>78</v>
      </c>
      <c r="N83" t="s">
        <v>155</v>
      </c>
      <c r="O83" t="s">
        <v>178</v>
      </c>
      <c r="P83" s="2" t="s">
        <v>20</v>
      </c>
      <c r="Q83" t="s">
        <v>64</v>
      </c>
      <c r="R83" t="s">
        <v>64</v>
      </c>
      <c r="S83" s="68" t="s">
        <v>213</v>
      </c>
      <c r="T83" t="s">
        <v>214</v>
      </c>
      <c r="U83" t="s">
        <v>234</v>
      </c>
      <c r="V83" s="2" t="s">
        <v>216</v>
      </c>
      <c r="W83" s="2" t="s">
        <v>65</v>
      </c>
      <c r="Z83" s="2" t="s">
        <v>119</v>
      </c>
      <c r="AA83" s="2" t="s">
        <v>120</v>
      </c>
      <c r="AB83" s="2" t="s">
        <v>66</v>
      </c>
      <c r="AC83" s="2" t="s">
        <v>67</v>
      </c>
    </row>
    <row r="84" spans="1:29" x14ac:dyDescent="0.35">
      <c r="A84" t="s">
        <v>108</v>
      </c>
      <c r="B84" t="s">
        <v>117</v>
      </c>
      <c r="C84" t="s">
        <v>210</v>
      </c>
      <c r="D84" t="s">
        <v>14</v>
      </c>
      <c r="E84" t="s">
        <v>14</v>
      </c>
      <c r="F84" t="s">
        <v>14</v>
      </c>
      <c r="G84" s="2" t="s">
        <v>117</v>
      </c>
      <c r="H84">
        <v>425892</v>
      </c>
      <c r="I84" s="31" t="s">
        <v>211</v>
      </c>
      <c r="J84" s="2" t="s">
        <v>212</v>
      </c>
      <c r="K84" t="s">
        <v>109</v>
      </c>
      <c r="L84" t="s">
        <v>118</v>
      </c>
      <c r="M84" s="2" t="s">
        <v>78</v>
      </c>
      <c r="N84" t="s">
        <v>155</v>
      </c>
      <c r="O84" t="s">
        <v>180</v>
      </c>
      <c r="P84" s="2" t="s">
        <v>20</v>
      </c>
      <c r="Q84" t="s">
        <v>64</v>
      </c>
      <c r="R84" t="s">
        <v>64</v>
      </c>
      <c r="S84" s="68" t="s">
        <v>213</v>
      </c>
      <c r="T84" t="s">
        <v>214</v>
      </c>
      <c r="U84" t="s">
        <v>235</v>
      </c>
      <c r="V84" s="2" t="s">
        <v>216</v>
      </c>
      <c r="W84" s="2" t="s">
        <v>65</v>
      </c>
      <c r="Z84" s="2" t="s">
        <v>119</v>
      </c>
      <c r="AA84" s="2" t="s">
        <v>120</v>
      </c>
      <c r="AB84" s="2" t="s">
        <v>66</v>
      </c>
      <c r="AC84" s="2" t="s">
        <v>67</v>
      </c>
    </row>
    <row r="85" spans="1:29" x14ac:dyDescent="0.35">
      <c r="A85" t="s">
        <v>108</v>
      </c>
      <c r="B85" t="s">
        <v>117</v>
      </c>
      <c r="C85" t="s">
        <v>210</v>
      </c>
      <c r="D85" t="s">
        <v>14</v>
      </c>
      <c r="E85" t="s">
        <v>14</v>
      </c>
      <c r="F85" t="s">
        <v>14</v>
      </c>
      <c r="G85" s="2" t="s">
        <v>117</v>
      </c>
      <c r="H85">
        <v>425892</v>
      </c>
      <c r="I85" s="31" t="s">
        <v>211</v>
      </c>
      <c r="J85" s="2" t="s">
        <v>212</v>
      </c>
      <c r="K85" t="s">
        <v>109</v>
      </c>
      <c r="L85" t="s">
        <v>118</v>
      </c>
      <c r="M85" s="2" t="s">
        <v>78</v>
      </c>
      <c r="N85" t="s">
        <v>155</v>
      </c>
      <c r="O85" t="s">
        <v>182</v>
      </c>
      <c r="P85" s="2" t="s">
        <v>20</v>
      </c>
      <c r="Q85" t="s">
        <v>64</v>
      </c>
      <c r="R85" t="s">
        <v>64</v>
      </c>
      <c r="S85" s="68" t="s">
        <v>213</v>
      </c>
      <c r="T85" t="s">
        <v>214</v>
      </c>
      <c r="U85" t="s">
        <v>236</v>
      </c>
      <c r="V85" s="2" t="s">
        <v>216</v>
      </c>
      <c r="W85" s="2" t="s">
        <v>65</v>
      </c>
      <c r="Z85" s="2" t="s">
        <v>119</v>
      </c>
      <c r="AA85" s="2" t="s">
        <v>120</v>
      </c>
      <c r="AB85" s="2" t="s">
        <v>66</v>
      </c>
      <c r="AC85" s="2" t="s">
        <v>67</v>
      </c>
    </row>
    <row r="86" spans="1:29" x14ac:dyDescent="0.35">
      <c r="A86" t="s">
        <v>108</v>
      </c>
      <c r="B86" t="s">
        <v>117</v>
      </c>
      <c r="C86" t="s">
        <v>210</v>
      </c>
      <c r="D86" t="s">
        <v>14</v>
      </c>
      <c r="E86" t="s">
        <v>14</v>
      </c>
      <c r="F86" t="s">
        <v>14</v>
      </c>
      <c r="G86" s="2" t="s">
        <v>117</v>
      </c>
      <c r="H86">
        <v>425892</v>
      </c>
      <c r="I86" s="31" t="s">
        <v>211</v>
      </c>
      <c r="J86" s="2" t="s">
        <v>212</v>
      </c>
      <c r="K86" t="s">
        <v>109</v>
      </c>
      <c r="L86" t="s">
        <v>118</v>
      </c>
      <c r="M86" s="2" t="s">
        <v>78</v>
      </c>
      <c r="N86" t="s">
        <v>155</v>
      </c>
      <c r="O86" t="s">
        <v>122</v>
      </c>
      <c r="P86" s="2" t="s">
        <v>20</v>
      </c>
      <c r="Q86" t="s">
        <v>64</v>
      </c>
      <c r="R86" t="s">
        <v>64</v>
      </c>
      <c r="S86" s="68" t="s">
        <v>213</v>
      </c>
      <c r="T86" t="s">
        <v>214</v>
      </c>
      <c r="U86" t="s">
        <v>237</v>
      </c>
      <c r="V86" s="2" t="s">
        <v>216</v>
      </c>
      <c r="W86" s="2" t="s">
        <v>65</v>
      </c>
      <c r="Z86" s="2" t="s">
        <v>119</v>
      </c>
      <c r="AA86" s="2" t="s">
        <v>120</v>
      </c>
      <c r="AB86" s="2" t="s">
        <v>66</v>
      </c>
      <c r="AC86" s="2" t="s">
        <v>67</v>
      </c>
    </row>
    <row r="87" spans="1:29" x14ac:dyDescent="0.35">
      <c r="A87" t="s">
        <v>108</v>
      </c>
      <c r="B87" t="s">
        <v>117</v>
      </c>
      <c r="C87" t="s">
        <v>210</v>
      </c>
      <c r="D87" t="s">
        <v>14</v>
      </c>
      <c r="E87" t="s">
        <v>14</v>
      </c>
      <c r="F87" t="s">
        <v>14</v>
      </c>
      <c r="G87" s="2" t="s">
        <v>117</v>
      </c>
      <c r="H87">
        <v>425892</v>
      </c>
      <c r="I87" s="31" t="s">
        <v>211</v>
      </c>
      <c r="J87" s="2" t="s">
        <v>212</v>
      </c>
      <c r="K87" t="s">
        <v>109</v>
      </c>
      <c r="L87" t="s">
        <v>118</v>
      </c>
      <c r="M87" s="2" t="s">
        <v>78</v>
      </c>
      <c r="N87" t="s">
        <v>155</v>
      </c>
      <c r="O87" t="s">
        <v>185</v>
      </c>
      <c r="P87" s="2" t="s">
        <v>20</v>
      </c>
      <c r="Q87" t="s">
        <v>64</v>
      </c>
      <c r="R87" t="s">
        <v>64</v>
      </c>
      <c r="S87" s="68" t="s">
        <v>213</v>
      </c>
      <c r="T87" t="s">
        <v>214</v>
      </c>
      <c r="U87" t="s">
        <v>238</v>
      </c>
      <c r="V87" s="2" t="s">
        <v>216</v>
      </c>
      <c r="W87" s="2" t="s">
        <v>65</v>
      </c>
      <c r="Z87" s="2" t="s">
        <v>119</v>
      </c>
      <c r="AA87" s="2" t="s">
        <v>120</v>
      </c>
      <c r="AB87" s="2" t="s">
        <v>66</v>
      </c>
      <c r="AC87" s="2" t="s">
        <v>67</v>
      </c>
    </row>
    <row r="88" spans="1:29" x14ac:dyDescent="0.35">
      <c r="A88" t="s">
        <v>108</v>
      </c>
      <c r="B88" t="s">
        <v>117</v>
      </c>
      <c r="C88" t="s">
        <v>210</v>
      </c>
      <c r="D88" t="s">
        <v>14</v>
      </c>
      <c r="E88" t="s">
        <v>14</v>
      </c>
      <c r="F88" t="s">
        <v>14</v>
      </c>
      <c r="G88" s="2" t="s">
        <v>117</v>
      </c>
      <c r="H88">
        <v>425892</v>
      </c>
      <c r="I88" s="31" t="s">
        <v>211</v>
      </c>
      <c r="J88" s="2" t="s">
        <v>212</v>
      </c>
      <c r="K88" t="s">
        <v>109</v>
      </c>
      <c r="L88" t="s">
        <v>118</v>
      </c>
      <c r="M88" s="2" t="s">
        <v>78</v>
      </c>
      <c r="N88" t="s">
        <v>155</v>
      </c>
      <c r="O88" t="s">
        <v>101</v>
      </c>
      <c r="P88" s="2" t="s">
        <v>207</v>
      </c>
      <c r="Q88" t="s">
        <v>64</v>
      </c>
      <c r="R88" t="s">
        <v>64</v>
      </c>
      <c r="S88" s="68" t="s">
        <v>213</v>
      </c>
      <c r="T88" t="s">
        <v>214</v>
      </c>
      <c r="U88" t="s">
        <v>239</v>
      </c>
      <c r="V88" s="2" t="s">
        <v>216</v>
      </c>
      <c r="W88" s="2" t="s">
        <v>65</v>
      </c>
      <c r="Z88" s="2" t="s">
        <v>119</v>
      </c>
      <c r="AA88" s="2" t="s">
        <v>120</v>
      </c>
      <c r="AB88" s="2" t="s">
        <v>66</v>
      </c>
      <c r="AC88" s="2" t="s">
        <v>67</v>
      </c>
    </row>
    <row r="89" spans="1:29" x14ac:dyDescent="0.35">
      <c r="A89" t="s">
        <v>108</v>
      </c>
      <c r="B89" t="s">
        <v>117</v>
      </c>
      <c r="C89" t="s">
        <v>210</v>
      </c>
      <c r="D89" t="s">
        <v>14</v>
      </c>
      <c r="E89" t="s">
        <v>14</v>
      </c>
      <c r="F89" t="s">
        <v>14</v>
      </c>
      <c r="G89" s="2" t="s">
        <v>117</v>
      </c>
      <c r="H89">
        <v>425892</v>
      </c>
      <c r="I89" s="31" t="s">
        <v>211</v>
      </c>
      <c r="J89" s="2" t="s">
        <v>212</v>
      </c>
      <c r="K89" t="s">
        <v>109</v>
      </c>
      <c r="L89" t="s">
        <v>118</v>
      </c>
      <c r="M89" s="2" t="s">
        <v>78</v>
      </c>
      <c r="N89" t="s">
        <v>155</v>
      </c>
      <c r="O89" t="s">
        <v>138</v>
      </c>
      <c r="P89" s="2" t="s">
        <v>20</v>
      </c>
      <c r="Q89" t="s">
        <v>64</v>
      </c>
      <c r="R89" t="s">
        <v>64</v>
      </c>
      <c r="S89" s="68" t="s">
        <v>213</v>
      </c>
      <c r="T89" t="s">
        <v>214</v>
      </c>
      <c r="U89" t="s">
        <v>240</v>
      </c>
      <c r="V89" s="2" t="s">
        <v>216</v>
      </c>
      <c r="W89" s="2" t="s">
        <v>65</v>
      </c>
      <c r="Z89" s="2" t="s">
        <v>119</v>
      </c>
      <c r="AA89" s="2" t="s">
        <v>120</v>
      </c>
      <c r="AB89" s="2" t="s">
        <v>66</v>
      </c>
      <c r="AC89" s="2" t="s">
        <v>67</v>
      </c>
    </row>
    <row r="90" spans="1:29" x14ac:dyDescent="0.35">
      <c r="A90" t="s">
        <v>108</v>
      </c>
      <c r="B90" t="s">
        <v>117</v>
      </c>
      <c r="C90" t="s">
        <v>210</v>
      </c>
      <c r="D90" t="s">
        <v>14</v>
      </c>
      <c r="E90" t="s">
        <v>14</v>
      </c>
      <c r="F90" t="s">
        <v>14</v>
      </c>
      <c r="G90" s="2" t="s">
        <v>117</v>
      </c>
      <c r="H90">
        <v>425892</v>
      </c>
      <c r="I90" s="31" t="s">
        <v>211</v>
      </c>
      <c r="J90" s="2" t="s">
        <v>212</v>
      </c>
      <c r="K90" t="s">
        <v>109</v>
      </c>
      <c r="L90" t="s">
        <v>118</v>
      </c>
      <c r="M90" s="2" t="s">
        <v>78</v>
      </c>
      <c r="N90" t="s">
        <v>155</v>
      </c>
      <c r="O90" t="s">
        <v>115</v>
      </c>
      <c r="P90" s="2" t="s">
        <v>20</v>
      </c>
      <c r="Q90" t="s">
        <v>64</v>
      </c>
      <c r="R90" t="s">
        <v>64</v>
      </c>
      <c r="S90" s="68" t="s">
        <v>213</v>
      </c>
      <c r="T90" t="s">
        <v>214</v>
      </c>
      <c r="U90" t="s">
        <v>241</v>
      </c>
      <c r="V90" s="2" t="s">
        <v>216</v>
      </c>
      <c r="W90" s="2" t="s">
        <v>65</v>
      </c>
      <c r="Z90" s="2" t="s">
        <v>119</v>
      </c>
      <c r="AA90" s="2" t="s">
        <v>120</v>
      </c>
      <c r="AB90" s="2" t="s">
        <v>66</v>
      </c>
      <c r="AC90" s="2" t="s">
        <v>67</v>
      </c>
    </row>
    <row r="91" spans="1:29" x14ac:dyDescent="0.35">
      <c r="A91" t="s">
        <v>108</v>
      </c>
      <c r="B91" t="s">
        <v>117</v>
      </c>
      <c r="C91" t="s">
        <v>210</v>
      </c>
      <c r="D91" t="s">
        <v>14</v>
      </c>
      <c r="E91" t="s">
        <v>14</v>
      </c>
      <c r="F91" t="s">
        <v>14</v>
      </c>
      <c r="G91" s="2" t="s">
        <v>117</v>
      </c>
      <c r="H91">
        <v>425892</v>
      </c>
      <c r="I91" s="31" t="s">
        <v>211</v>
      </c>
      <c r="J91" s="2" t="s">
        <v>212</v>
      </c>
      <c r="K91" t="s">
        <v>109</v>
      </c>
      <c r="L91" t="s">
        <v>118</v>
      </c>
      <c r="M91" s="2" t="s">
        <v>78</v>
      </c>
      <c r="N91" t="s">
        <v>155</v>
      </c>
      <c r="O91" t="s">
        <v>116</v>
      </c>
      <c r="P91" s="2" t="s">
        <v>20</v>
      </c>
      <c r="Q91" t="s">
        <v>64</v>
      </c>
      <c r="R91" t="s">
        <v>64</v>
      </c>
      <c r="S91" s="68" t="s">
        <v>213</v>
      </c>
      <c r="T91" t="s">
        <v>214</v>
      </c>
      <c r="U91" t="s">
        <v>242</v>
      </c>
      <c r="V91" s="2" t="s">
        <v>216</v>
      </c>
      <c r="W91" s="2" t="s">
        <v>65</v>
      </c>
      <c r="Z91" s="2" t="s">
        <v>119</v>
      </c>
      <c r="AA91" s="2" t="s">
        <v>120</v>
      </c>
      <c r="AB91" s="2" t="s">
        <v>66</v>
      </c>
      <c r="AC91" s="2" t="s">
        <v>67</v>
      </c>
    </row>
    <row r="92" spans="1:29" x14ac:dyDescent="0.35">
      <c r="A92" t="s">
        <v>108</v>
      </c>
      <c r="B92" t="s">
        <v>117</v>
      </c>
      <c r="C92" t="s">
        <v>210</v>
      </c>
      <c r="D92" t="s">
        <v>14</v>
      </c>
      <c r="E92" t="s">
        <v>14</v>
      </c>
      <c r="F92" t="s">
        <v>14</v>
      </c>
      <c r="G92" s="2" t="s">
        <v>117</v>
      </c>
      <c r="H92">
        <v>425892</v>
      </c>
      <c r="I92" s="31" t="s">
        <v>211</v>
      </c>
      <c r="J92" s="2" t="s">
        <v>212</v>
      </c>
      <c r="K92" t="s">
        <v>109</v>
      </c>
      <c r="L92" t="s">
        <v>118</v>
      </c>
      <c r="M92" s="2" t="s">
        <v>78</v>
      </c>
      <c r="N92" t="s">
        <v>155</v>
      </c>
      <c r="O92" t="s">
        <v>208</v>
      </c>
      <c r="P92" s="2" t="s">
        <v>20</v>
      </c>
      <c r="Q92" t="s">
        <v>64</v>
      </c>
      <c r="R92" t="s">
        <v>64</v>
      </c>
      <c r="S92" s="68" t="s">
        <v>213</v>
      </c>
      <c r="T92" t="s">
        <v>214</v>
      </c>
      <c r="U92" t="s">
        <v>243</v>
      </c>
      <c r="V92" s="2" t="s">
        <v>216</v>
      </c>
      <c r="W92" s="2" t="s">
        <v>65</v>
      </c>
      <c r="Z92" s="2" t="s">
        <v>119</v>
      </c>
      <c r="AA92" s="2" t="s">
        <v>120</v>
      </c>
      <c r="AB92" s="2" t="s">
        <v>66</v>
      </c>
      <c r="AC92" s="2" t="s">
        <v>67</v>
      </c>
    </row>
    <row r="93" spans="1:29" x14ac:dyDescent="0.35">
      <c r="A93" t="s">
        <v>108</v>
      </c>
      <c r="B93" t="s">
        <v>117</v>
      </c>
      <c r="C93" t="s">
        <v>210</v>
      </c>
      <c r="D93" t="s">
        <v>14</v>
      </c>
      <c r="E93" t="s">
        <v>14</v>
      </c>
      <c r="F93" t="s">
        <v>14</v>
      </c>
      <c r="G93" s="2" t="s">
        <v>117</v>
      </c>
      <c r="H93">
        <v>425892</v>
      </c>
      <c r="I93" s="31" t="s">
        <v>211</v>
      </c>
      <c r="J93" s="2" t="s">
        <v>212</v>
      </c>
      <c r="K93" t="s">
        <v>109</v>
      </c>
      <c r="L93" t="s">
        <v>118</v>
      </c>
      <c r="M93" s="2" t="s">
        <v>78</v>
      </c>
      <c r="N93" t="s">
        <v>155</v>
      </c>
      <c r="O93" t="s">
        <v>123</v>
      </c>
      <c r="P93" s="2" t="s">
        <v>20</v>
      </c>
      <c r="Q93" t="s">
        <v>64</v>
      </c>
      <c r="R93" t="s">
        <v>64</v>
      </c>
      <c r="S93" s="68" t="s">
        <v>213</v>
      </c>
      <c r="T93" t="s">
        <v>214</v>
      </c>
      <c r="U93" t="s">
        <v>244</v>
      </c>
      <c r="V93" s="2" t="s">
        <v>216</v>
      </c>
      <c r="W93" s="2" t="s">
        <v>65</v>
      </c>
      <c r="Z93" s="2" t="s">
        <v>119</v>
      </c>
      <c r="AA93" s="2" t="s">
        <v>120</v>
      </c>
      <c r="AB93" s="2" t="s">
        <v>66</v>
      </c>
      <c r="AC93" s="2" t="s">
        <v>67</v>
      </c>
    </row>
    <row r="94" spans="1:29" x14ac:dyDescent="0.35">
      <c r="A94" t="s">
        <v>108</v>
      </c>
      <c r="B94" t="s">
        <v>117</v>
      </c>
      <c r="C94" t="s">
        <v>210</v>
      </c>
      <c r="D94" t="s">
        <v>14</v>
      </c>
      <c r="E94" t="s">
        <v>14</v>
      </c>
      <c r="F94" t="s">
        <v>14</v>
      </c>
      <c r="G94" s="2" t="s">
        <v>117</v>
      </c>
      <c r="H94">
        <v>425892</v>
      </c>
      <c r="I94" s="31" t="s">
        <v>211</v>
      </c>
      <c r="J94" s="2" t="s">
        <v>212</v>
      </c>
      <c r="K94" t="s">
        <v>109</v>
      </c>
      <c r="L94" t="s">
        <v>118</v>
      </c>
      <c r="M94" s="2" t="s">
        <v>78</v>
      </c>
      <c r="N94" t="s">
        <v>155</v>
      </c>
      <c r="O94" t="s">
        <v>209</v>
      </c>
      <c r="P94" s="2" t="s">
        <v>20</v>
      </c>
      <c r="Q94" t="s">
        <v>64</v>
      </c>
      <c r="R94" t="s">
        <v>64</v>
      </c>
      <c r="S94" s="68" t="s">
        <v>213</v>
      </c>
      <c r="T94" t="s">
        <v>214</v>
      </c>
      <c r="U94" t="s">
        <v>245</v>
      </c>
      <c r="V94" s="2" t="s">
        <v>216</v>
      </c>
      <c r="W94" s="2" t="s">
        <v>65</v>
      </c>
      <c r="Z94" s="2" t="s">
        <v>119</v>
      </c>
      <c r="AA94" s="2" t="s">
        <v>120</v>
      </c>
      <c r="AB94" s="2" t="s">
        <v>66</v>
      </c>
      <c r="AC94" s="2" t="s">
        <v>67</v>
      </c>
    </row>
    <row r="95" spans="1:29" x14ac:dyDescent="0.35">
      <c r="A95" t="s">
        <v>108</v>
      </c>
      <c r="B95" t="s">
        <v>117</v>
      </c>
      <c r="C95" t="s">
        <v>210</v>
      </c>
      <c r="D95" t="s">
        <v>14</v>
      </c>
      <c r="E95" t="s">
        <v>14</v>
      </c>
      <c r="F95" t="s">
        <v>14</v>
      </c>
      <c r="G95" s="2" t="s">
        <v>117</v>
      </c>
      <c r="H95">
        <v>425892</v>
      </c>
      <c r="I95" s="31" t="s">
        <v>211</v>
      </c>
      <c r="J95" s="2" t="s">
        <v>212</v>
      </c>
      <c r="K95" t="s">
        <v>109</v>
      </c>
      <c r="L95" t="s">
        <v>118</v>
      </c>
      <c r="M95" s="2" t="s">
        <v>78</v>
      </c>
      <c r="N95" t="s">
        <v>155</v>
      </c>
      <c r="O95" t="s">
        <v>102</v>
      </c>
      <c r="P95" s="2" t="s">
        <v>164</v>
      </c>
      <c r="Q95" t="s">
        <v>64</v>
      </c>
      <c r="R95" t="s">
        <v>64</v>
      </c>
      <c r="S95" s="68" t="s">
        <v>213</v>
      </c>
      <c r="T95" t="s">
        <v>214</v>
      </c>
      <c r="U95" t="s">
        <v>246</v>
      </c>
      <c r="V95" s="2" t="s">
        <v>216</v>
      </c>
      <c r="W95" s="2" t="s">
        <v>65</v>
      </c>
      <c r="Z95" s="2" t="s">
        <v>119</v>
      </c>
      <c r="AA95" s="2" t="s">
        <v>120</v>
      </c>
      <c r="AB95" s="2" t="s">
        <v>66</v>
      </c>
      <c r="AC95" s="2" t="s">
        <v>67</v>
      </c>
    </row>
    <row r="96" spans="1:29" x14ac:dyDescent="0.35">
      <c r="A96" t="s">
        <v>108</v>
      </c>
      <c r="B96" t="s">
        <v>117</v>
      </c>
      <c r="C96" t="s">
        <v>210</v>
      </c>
      <c r="D96" t="s">
        <v>14</v>
      </c>
      <c r="E96" t="s">
        <v>14</v>
      </c>
      <c r="F96" t="s">
        <v>14</v>
      </c>
      <c r="G96" s="2" t="s">
        <v>117</v>
      </c>
      <c r="H96">
        <v>425892</v>
      </c>
      <c r="I96" s="31" t="s">
        <v>211</v>
      </c>
      <c r="J96" s="2" t="s">
        <v>212</v>
      </c>
      <c r="K96" t="s">
        <v>109</v>
      </c>
      <c r="L96" t="s">
        <v>118</v>
      </c>
      <c r="M96" s="2" t="s">
        <v>78</v>
      </c>
      <c r="N96" t="s">
        <v>155</v>
      </c>
      <c r="O96" t="s">
        <v>103</v>
      </c>
      <c r="P96" s="2" t="s">
        <v>261</v>
      </c>
      <c r="Q96" t="s">
        <v>64</v>
      </c>
      <c r="R96" t="s">
        <v>64</v>
      </c>
      <c r="S96" s="68" t="s">
        <v>213</v>
      </c>
      <c r="T96" t="s">
        <v>214</v>
      </c>
      <c r="U96" t="s">
        <v>247</v>
      </c>
      <c r="V96" s="2" t="s">
        <v>216</v>
      </c>
      <c r="W96" s="2" t="s">
        <v>65</v>
      </c>
      <c r="Z96" s="2" t="s">
        <v>119</v>
      </c>
      <c r="AA96" s="2" t="s">
        <v>120</v>
      </c>
      <c r="AB96" s="2" t="s">
        <v>66</v>
      </c>
      <c r="AC96" s="2" t="s">
        <v>67</v>
      </c>
    </row>
    <row r="97" spans="1:29" x14ac:dyDescent="0.35">
      <c r="A97" t="s">
        <v>108</v>
      </c>
      <c r="B97" t="s">
        <v>69</v>
      </c>
      <c r="C97" t="s">
        <v>8</v>
      </c>
      <c r="D97" t="s">
        <v>43</v>
      </c>
      <c r="E97" t="s">
        <v>43</v>
      </c>
      <c r="F97" t="s">
        <v>43</v>
      </c>
      <c r="G97" s="2" t="s">
        <v>8</v>
      </c>
      <c r="H97">
        <v>103263</v>
      </c>
      <c r="I97" s="31" t="s">
        <v>248</v>
      </c>
      <c r="J97" s="2" t="s">
        <v>249</v>
      </c>
      <c r="K97" t="s">
        <v>109</v>
      </c>
      <c r="L97" t="s">
        <v>249</v>
      </c>
      <c r="M97" s="2" t="s">
        <v>78</v>
      </c>
      <c r="N97" t="s">
        <v>155</v>
      </c>
      <c r="O97" t="s">
        <v>87</v>
      </c>
      <c r="P97" s="2" t="s">
        <v>164</v>
      </c>
      <c r="Q97" t="s">
        <v>64</v>
      </c>
      <c r="R97" t="s">
        <v>64</v>
      </c>
      <c r="S97" s="68" t="s">
        <v>250</v>
      </c>
      <c r="T97" t="s">
        <v>251</v>
      </c>
      <c r="U97" t="s">
        <v>252</v>
      </c>
      <c r="V97" s="2" t="s">
        <v>253</v>
      </c>
      <c r="W97" s="2" t="s">
        <v>65</v>
      </c>
      <c r="Z97" s="2" t="s">
        <v>129</v>
      </c>
      <c r="AA97" s="2" t="s">
        <v>130</v>
      </c>
      <c r="AB97" s="2" t="s">
        <v>66</v>
      </c>
      <c r="AC97" s="2" t="s">
        <v>67</v>
      </c>
    </row>
    <row r="98" spans="1:29" x14ac:dyDescent="0.35">
      <c r="A98" t="s">
        <v>108</v>
      </c>
      <c r="B98" t="s">
        <v>69</v>
      </c>
      <c r="C98" t="s">
        <v>8</v>
      </c>
      <c r="D98" t="s">
        <v>43</v>
      </c>
      <c r="E98" t="s">
        <v>43</v>
      </c>
      <c r="F98" t="s">
        <v>43</v>
      </c>
      <c r="G98" s="2" t="s">
        <v>8</v>
      </c>
      <c r="H98">
        <v>103263</v>
      </c>
      <c r="I98" s="31" t="s">
        <v>248</v>
      </c>
      <c r="J98" s="2" t="s">
        <v>249</v>
      </c>
      <c r="K98" t="s">
        <v>109</v>
      </c>
      <c r="L98" t="s">
        <v>249</v>
      </c>
      <c r="M98" s="2" t="s">
        <v>78</v>
      </c>
      <c r="N98" t="s">
        <v>155</v>
      </c>
      <c r="O98" t="s">
        <v>102</v>
      </c>
      <c r="P98" s="2" t="s">
        <v>20</v>
      </c>
      <c r="Q98" t="s">
        <v>64</v>
      </c>
      <c r="R98" t="s">
        <v>64</v>
      </c>
      <c r="S98" s="68" t="s">
        <v>250</v>
      </c>
      <c r="T98" t="s">
        <v>251</v>
      </c>
      <c r="U98" t="s">
        <v>252</v>
      </c>
      <c r="V98" s="2" t="s">
        <v>253</v>
      </c>
      <c r="W98" s="2" t="s">
        <v>65</v>
      </c>
      <c r="Z98" s="2" t="s">
        <v>129</v>
      </c>
      <c r="AA98" s="2" t="s">
        <v>130</v>
      </c>
      <c r="AB98" s="2" t="s">
        <v>66</v>
      </c>
      <c r="AC98" s="2" t="s">
        <v>67</v>
      </c>
    </row>
    <row r="99" spans="1:29" x14ac:dyDescent="0.35">
      <c r="A99" t="s">
        <v>108</v>
      </c>
      <c r="B99" t="s">
        <v>69</v>
      </c>
      <c r="C99" t="s">
        <v>8</v>
      </c>
      <c r="D99" t="s">
        <v>43</v>
      </c>
      <c r="E99" t="s">
        <v>43</v>
      </c>
      <c r="F99" t="s">
        <v>43</v>
      </c>
      <c r="G99" s="2" t="s">
        <v>8</v>
      </c>
      <c r="H99">
        <v>103263</v>
      </c>
      <c r="I99" s="31" t="s">
        <v>248</v>
      </c>
      <c r="J99" s="2" t="s">
        <v>249</v>
      </c>
      <c r="K99" t="s">
        <v>109</v>
      </c>
      <c r="L99" t="s">
        <v>249</v>
      </c>
      <c r="M99" s="2" t="s">
        <v>78</v>
      </c>
      <c r="N99" t="s">
        <v>155</v>
      </c>
      <c r="O99" t="s">
        <v>103</v>
      </c>
      <c r="P99" s="2" t="s">
        <v>254</v>
      </c>
      <c r="Q99" t="s">
        <v>64</v>
      </c>
      <c r="R99" t="s">
        <v>64</v>
      </c>
      <c r="S99" s="68" t="s">
        <v>250</v>
      </c>
      <c r="T99" t="s">
        <v>251</v>
      </c>
      <c r="U99" t="s">
        <v>252</v>
      </c>
      <c r="V99" s="2" t="s">
        <v>253</v>
      </c>
      <c r="W99" s="2" t="s">
        <v>65</v>
      </c>
      <c r="Z99" s="2" t="s">
        <v>129</v>
      </c>
      <c r="AA99" s="2" t="s">
        <v>130</v>
      </c>
      <c r="AB99" s="2" t="s">
        <v>66</v>
      </c>
      <c r="AC99" s="2" t="s">
        <v>67</v>
      </c>
    </row>
  </sheetData>
  <phoneticPr fontId="3" type="noConversion"/>
  <conditionalFormatting sqref="O1:O1048576">
    <cfRule type="duplicateValues" dxfId="0" priority="81"/>
  </conditionalFormatting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205E33-EDDE-4B1B-A585-84A321E83FE9}">
  <sheetPr codeName="Hoja7"/>
  <dimension ref="A1:K43"/>
  <sheetViews>
    <sheetView showGridLines="0" zoomScale="60" zoomScaleNormal="60" workbookViewId="0">
      <selection activeCell="G1" sqref="G1"/>
    </sheetView>
  </sheetViews>
  <sheetFormatPr baseColWidth="10" defaultColWidth="11.453125" defaultRowHeight="15" customHeight="1" x14ac:dyDescent="0.35"/>
  <cols>
    <col min="1" max="1" width="24" style="45" bestFit="1" customWidth="1"/>
    <col min="2" max="2" width="27.1796875" style="45" bestFit="1" customWidth="1"/>
    <col min="3" max="3" width="20.1796875" style="45" bestFit="1" customWidth="1"/>
    <col min="4" max="4" width="31.1796875" customWidth="1"/>
    <col min="5" max="5" width="14.81640625" bestFit="1" customWidth="1"/>
    <col min="6" max="6" width="13.1796875" customWidth="1"/>
    <col min="7" max="7" width="75.453125" bestFit="1" customWidth="1"/>
    <col min="8" max="8" width="41" customWidth="1"/>
    <col min="9" max="9" width="11.453125" customWidth="1"/>
    <col min="10" max="10" width="29.1796875" bestFit="1" customWidth="1"/>
    <col min="11" max="11" width="19.7265625" style="29" bestFit="1" customWidth="1"/>
  </cols>
  <sheetData>
    <row r="1" spans="1:11" ht="15" customHeight="1" x14ac:dyDescent="0.35">
      <c r="A1" s="23" t="s">
        <v>43</v>
      </c>
      <c r="B1" s="23" t="s">
        <v>14</v>
      </c>
      <c r="C1" s="23" t="s">
        <v>15</v>
      </c>
      <c r="D1" s="22" t="s">
        <v>13</v>
      </c>
      <c r="E1" s="38" t="s">
        <v>70</v>
      </c>
      <c r="F1" s="36" t="s">
        <v>71</v>
      </c>
      <c r="G1" s="36" t="s">
        <v>27</v>
      </c>
      <c r="H1" s="37" t="s">
        <v>33</v>
      </c>
      <c r="I1" s="11"/>
      <c r="J1" s="26" t="s">
        <v>13</v>
      </c>
      <c r="K1" s="28" t="s">
        <v>74</v>
      </c>
    </row>
    <row r="2" spans="1:11" ht="15" customHeight="1" x14ac:dyDescent="0.35">
      <c r="A2" s="39">
        <v>0</v>
      </c>
      <c r="B2" s="39">
        <v>0</v>
      </c>
      <c r="C2" s="39">
        <v>0</v>
      </c>
      <c r="D2" s="24" t="s">
        <v>68</v>
      </c>
      <c r="E2" s="39">
        <v>0</v>
      </c>
      <c r="F2" s="19" t="s">
        <v>72</v>
      </c>
      <c r="G2" s="19" t="s">
        <v>87</v>
      </c>
      <c r="H2" s="19"/>
      <c r="J2" s="44" t="s">
        <v>104</v>
      </c>
      <c r="K2" s="43">
        <v>0.1</v>
      </c>
    </row>
    <row r="3" spans="1:11" ht="15" customHeight="1" x14ac:dyDescent="0.35">
      <c r="A3" s="39">
        <v>20</v>
      </c>
      <c r="B3" s="39">
        <v>20</v>
      </c>
      <c r="C3" s="39">
        <v>20</v>
      </c>
      <c r="D3" s="24" t="s">
        <v>17</v>
      </c>
      <c r="E3" s="39">
        <v>20</v>
      </c>
      <c r="F3" s="19" t="s">
        <v>72</v>
      </c>
      <c r="G3" s="19" t="s">
        <v>88</v>
      </c>
      <c r="H3" s="19" t="s">
        <v>20</v>
      </c>
      <c r="J3" s="44" t="s">
        <v>17</v>
      </c>
      <c r="K3" s="43">
        <v>0.2</v>
      </c>
    </row>
    <row r="4" spans="1:11" ht="15" customHeight="1" x14ac:dyDescent="0.35">
      <c r="A4" s="39">
        <f t="shared" ref="A4:C4" si="0">10/10</f>
        <v>1</v>
      </c>
      <c r="B4" s="39">
        <f t="shared" si="0"/>
        <v>1</v>
      </c>
      <c r="C4" s="39">
        <f t="shared" si="0"/>
        <v>1</v>
      </c>
      <c r="D4" s="24" t="s">
        <v>104</v>
      </c>
      <c r="E4" s="39">
        <f>10/10</f>
        <v>1</v>
      </c>
      <c r="F4" s="19" t="s">
        <v>72</v>
      </c>
      <c r="G4" s="19" t="s">
        <v>89</v>
      </c>
      <c r="H4" s="19" t="s">
        <v>20</v>
      </c>
      <c r="J4" s="44" t="s">
        <v>105</v>
      </c>
      <c r="K4" s="43">
        <v>0.3</v>
      </c>
    </row>
    <row r="5" spans="1:11" ht="15" customHeight="1" x14ac:dyDescent="0.35">
      <c r="A5" s="39">
        <f t="shared" ref="A5:E13" si="1">10/10</f>
        <v>1</v>
      </c>
      <c r="B5" s="39">
        <f t="shared" si="1"/>
        <v>1</v>
      </c>
      <c r="C5" s="39">
        <f t="shared" si="1"/>
        <v>1</v>
      </c>
      <c r="D5" s="24" t="s">
        <v>104</v>
      </c>
      <c r="E5" s="39">
        <f t="shared" si="1"/>
        <v>1</v>
      </c>
      <c r="F5" s="19" t="s">
        <v>72</v>
      </c>
      <c r="G5" s="19" t="s">
        <v>90</v>
      </c>
      <c r="H5" s="19" t="s">
        <v>20</v>
      </c>
      <c r="J5" s="44" t="s">
        <v>106</v>
      </c>
      <c r="K5" s="43">
        <v>0.4</v>
      </c>
    </row>
    <row r="6" spans="1:11" ht="15" customHeight="1" x14ac:dyDescent="0.35">
      <c r="A6" s="39">
        <f t="shared" si="1"/>
        <v>1</v>
      </c>
      <c r="B6" s="39">
        <f t="shared" si="1"/>
        <v>1</v>
      </c>
      <c r="C6" s="39">
        <f t="shared" si="1"/>
        <v>1</v>
      </c>
      <c r="D6" s="24" t="s">
        <v>104</v>
      </c>
      <c r="E6" s="39">
        <f t="shared" si="1"/>
        <v>1</v>
      </c>
      <c r="F6" s="19" t="s">
        <v>72</v>
      </c>
      <c r="G6" s="19" t="s">
        <v>35</v>
      </c>
      <c r="H6" s="19" t="s">
        <v>20</v>
      </c>
      <c r="J6" s="27" t="s">
        <v>73</v>
      </c>
      <c r="K6" s="30">
        <f ca="1">SUM(K2:K6)</f>
        <v>1</v>
      </c>
    </row>
    <row r="7" spans="1:11" ht="15" customHeight="1" x14ac:dyDescent="0.35">
      <c r="A7" s="39">
        <f t="shared" si="1"/>
        <v>1</v>
      </c>
      <c r="B7" s="39">
        <f t="shared" si="1"/>
        <v>1</v>
      </c>
      <c r="C7" s="39">
        <f t="shared" si="1"/>
        <v>1</v>
      </c>
      <c r="D7" s="24" t="s">
        <v>104</v>
      </c>
      <c r="E7" s="39">
        <f t="shared" si="1"/>
        <v>1</v>
      </c>
      <c r="F7" s="19" t="s">
        <v>72</v>
      </c>
      <c r="G7" s="19" t="s">
        <v>91</v>
      </c>
      <c r="H7" s="19" t="s">
        <v>164</v>
      </c>
    </row>
    <row r="8" spans="1:11" ht="15" customHeight="1" x14ac:dyDescent="0.35">
      <c r="A8" s="39">
        <f t="shared" si="1"/>
        <v>1</v>
      </c>
      <c r="B8" s="39">
        <f t="shared" si="1"/>
        <v>1</v>
      </c>
      <c r="C8" s="39">
        <f t="shared" si="1"/>
        <v>1</v>
      </c>
      <c r="D8" s="24" t="s">
        <v>104</v>
      </c>
      <c r="E8" s="39">
        <f t="shared" si="1"/>
        <v>1</v>
      </c>
      <c r="F8" s="19" t="s">
        <v>72</v>
      </c>
      <c r="G8" s="19" t="s">
        <v>92</v>
      </c>
      <c r="H8" s="19" t="s">
        <v>20</v>
      </c>
    </row>
    <row r="9" spans="1:11" ht="15" customHeight="1" x14ac:dyDescent="0.35">
      <c r="A9" s="39">
        <f t="shared" si="1"/>
        <v>1</v>
      </c>
      <c r="B9" s="39">
        <f t="shared" si="1"/>
        <v>1</v>
      </c>
      <c r="C9" s="39">
        <f t="shared" si="1"/>
        <v>1</v>
      </c>
      <c r="D9" s="24" t="s">
        <v>104</v>
      </c>
      <c r="E9" s="39">
        <f t="shared" si="1"/>
        <v>1</v>
      </c>
      <c r="F9" s="19" t="s">
        <v>72</v>
      </c>
      <c r="G9" s="19" t="s">
        <v>93</v>
      </c>
      <c r="H9" s="19" t="s">
        <v>20</v>
      </c>
    </row>
    <row r="10" spans="1:11" ht="15" customHeight="1" x14ac:dyDescent="0.35">
      <c r="A10" s="39">
        <f t="shared" si="1"/>
        <v>1</v>
      </c>
      <c r="B10" s="39">
        <f t="shared" si="1"/>
        <v>1</v>
      </c>
      <c r="C10" s="39">
        <f t="shared" si="1"/>
        <v>1</v>
      </c>
      <c r="D10" s="24" t="s">
        <v>104</v>
      </c>
      <c r="E10" s="39">
        <f t="shared" si="1"/>
        <v>1</v>
      </c>
      <c r="F10" s="19" t="s">
        <v>72</v>
      </c>
      <c r="G10" s="19" t="s">
        <v>94</v>
      </c>
      <c r="H10" s="19" t="s">
        <v>164</v>
      </c>
      <c r="K10"/>
    </row>
    <row r="11" spans="1:11" ht="15" customHeight="1" x14ac:dyDescent="0.35">
      <c r="A11" s="39">
        <f t="shared" si="1"/>
        <v>1</v>
      </c>
      <c r="B11" s="39">
        <f t="shared" si="1"/>
        <v>1</v>
      </c>
      <c r="C11" s="39">
        <f t="shared" si="1"/>
        <v>1</v>
      </c>
      <c r="D11" s="24" t="s">
        <v>104</v>
      </c>
      <c r="E11" s="39">
        <f t="shared" si="1"/>
        <v>1</v>
      </c>
      <c r="F11" s="19" t="s">
        <v>72</v>
      </c>
      <c r="G11" s="19" t="s">
        <v>95</v>
      </c>
      <c r="H11" s="19" t="s">
        <v>164</v>
      </c>
      <c r="K11"/>
    </row>
    <row r="12" spans="1:11" ht="15" customHeight="1" x14ac:dyDescent="0.35">
      <c r="A12" s="39">
        <f t="shared" si="1"/>
        <v>1</v>
      </c>
      <c r="B12" s="39">
        <f t="shared" si="1"/>
        <v>1</v>
      </c>
      <c r="C12" s="39">
        <f t="shared" si="1"/>
        <v>1</v>
      </c>
      <c r="D12" s="24" t="s">
        <v>104</v>
      </c>
      <c r="E12" s="39">
        <f t="shared" si="1"/>
        <v>1</v>
      </c>
      <c r="F12" s="19" t="s">
        <v>72</v>
      </c>
      <c r="G12" s="19" t="s">
        <v>96</v>
      </c>
      <c r="H12" s="19" t="s">
        <v>164</v>
      </c>
      <c r="K12"/>
    </row>
    <row r="13" spans="1:11" ht="15" customHeight="1" x14ac:dyDescent="0.35">
      <c r="A13" s="39">
        <f t="shared" si="1"/>
        <v>1</v>
      </c>
      <c r="B13" s="39">
        <f t="shared" si="1"/>
        <v>1</v>
      </c>
      <c r="C13" s="39">
        <f t="shared" si="1"/>
        <v>1</v>
      </c>
      <c r="D13" s="24" t="s">
        <v>104</v>
      </c>
      <c r="E13" s="39">
        <f t="shared" si="1"/>
        <v>1</v>
      </c>
      <c r="F13" s="19" t="s">
        <v>72</v>
      </c>
      <c r="G13" s="19" t="s">
        <v>97</v>
      </c>
      <c r="H13" s="19" t="s">
        <v>164</v>
      </c>
      <c r="K13"/>
    </row>
    <row r="14" spans="1:11" ht="15" customHeight="1" x14ac:dyDescent="0.35">
      <c r="A14" s="39">
        <f t="shared" ref="A14:C18" si="2">30/11</f>
        <v>2.7272727272727271</v>
      </c>
      <c r="B14" s="39">
        <f t="shared" si="2"/>
        <v>2.7272727272727271</v>
      </c>
      <c r="C14" s="39">
        <f t="shared" si="2"/>
        <v>2.7272727272727271</v>
      </c>
      <c r="D14" s="24" t="s">
        <v>107</v>
      </c>
      <c r="E14" s="39">
        <f>30/11</f>
        <v>2.7272727272727271</v>
      </c>
      <c r="F14" s="19" t="s">
        <v>72</v>
      </c>
      <c r="G14" s="19" t="s">
        <v>125</v>
      </c>
      <c r="H14" s="19" t="s">
        <v>20</v>
      </c>
      <c r="K14"/>
    </row>
    <row r="15" spans="1:11" ht="15" customHeight="1" x14ac:dyDescent="0.35">
      <c r="A15" s="39">
        <f t="shared" si="2"/>
        <v>2.7272727272727271</v>
      </c>
      <c r="B15" s="39">
        <f t="shared" si="2"/>
        <v>2.7272727272727271</v>
      </c>
      <c r="C15" s="39">
        <f t="shared" si="2"/>
        <v>2.7272727272727271</v>
      </c>
      <c r="D15" s="24" t="s">
        <v>107</v>
      </c>
      <c r="E15" s="39">
        <f t="shared" ref="E15:E24" si="3">30/11</f>
        <v>2.7272727272727271</v>
      </c>
      <c r="F15" s="19" t="s">
        <v>72</v>
      </c>
      <c r="G15" s="19" t="s">
        <v>126</v>
      </c>
      <c r="H15" s="19" t="s">
        <v>20</v>
      </c>
      <c r="K15"/>
    </row>
    <row r="16" spans="1:11" ht="15" customHeight="1" x14ac:dyDescent="0.35">
      <c r="A16" s="39">
        <f t="shared" si="2"/>
        <v>2.7272727272727271</v>
      </c>
      <c r="B16" s="39">
        <f t="shared" si="2"/>
        <v>2.7272727272727271</v>
      </c>
      <c r="C16" s="39">
        <f t="shared" si="2"/>
        <v>2.7272727272727271</v>
      </c>
      <c r="D16" s="24" t="s">
        <v>107</v>
      </c>
      <c r="E16" s="39">
        <f t="shared" si="3"/>
        <v>2.7272727272727271</v>
      </c>
      <c r="F16" s="19" t="s">
        <v>72</v>
      </c>
      <c r="G16" s="40" t="s">
        <v>98</v>
      </c>
      <c r="H16" s="19" t="s">
        <v>20</v>
      </c>
    </row>
    <row r="17" spans="1:10" ht="15" customHeight="1" x14ac:dyDescent="0.35">
      <c r="A17" s="39">
        <f t="shared" si="2"/>
        <v>2.7272727272727271</v>
      </c>
      <c r="B17" s="39">
        <f t="shared" si="2"/>
        <v>2.7272727272727271</v>
      </c>
      <c r="C17" s="39">
        <f t="shared" si="2"/>
        <v>2.7272727272727271</v>
      </c>
      <c r="D17" s="24" t="s">
        <v>107</v>
      </c>
      <c r="E17" s="39">
        <f t="shared" si="3"/>
        <v>2.7272727272727271</v>
      </c>
      <c r="F17" s="19" t="s">
        <v>72</v>
      </c>
      <c r="G17" s="40" t="s">
        <v>99</v>
      </c>
      <c r="H17" s="19" t="s">
        <v>20</v>
      </c>
    </row>
    <row r="18" spans="1:10" ht="15" customHeight="1" x14ac:dyDescent="0.35">
      <c r="A18" s="39">
        <f t="shared" si="2"/>
        <v>2.7272727272727271</v>
      </c>
      <c r="B18" s="39">
        <f t="shared" si="2"/>
        <v>2.7272727272727271</v>
      </c>
      <c r="C18" s="39">
        <f t="shared" si="2"/>
        <v>2.7272727272727271</v>
      </c>
      <c r="D18" s="24" t="s">
        <v>107</v>
      </c>
      <c r="E18" s="39">
        <f t="shared" si="3"/>
        <v>2.7272727272727271</v>
      </c>
      <c r="F18" s="19" t="s">
        <v>72</v>
      </c>
      <c r="G18" s="40" t="s">
        <v>100</v>
      </c>
      <c r="H18" s="19" t="s">
        <v>20</v>
      </c>
    </row>
    <row r="19" spans="1:10" ht="15" customHeight="1" x14ac:dyDescent="0.35">
      <c r="A19" s="39">
        <v>0</v>
      </c>
      <c r="B19" s="39">
        <v>0</v>
      </c>
      <c r="C19" s="39">
        <v>16</v>
      </c>
      <c r="D19" s="24" t="s">
        <v>107</v>
      </c>
      <c r="E19" s="39">
        <f t="shared" si="3"/>
        <v>2.7272727272727271</v>
      </c>
      <c r="F19" s="19" t="s">
        <v>72</v>
      </c>
      <c r="G19" s="19" t="s">
        <v>121</v>
      </c>
      <c r="H19" s="19" t="s">
        <v>20</v>
      </c>
    </row>
    <row r="20" spans="1:10" ht="15" customHeight="1" x14ac:dyDescent="0.35">
      <c r="A20" s="39">
        <f>16/2</f>
        <v>8</v>
      </c>
      <c r="B20" s="39">
        <v>0</v>
      </c>
      <c r="C20" s="39">
        <v>0</v>
      </c>
      <c r="D20" s="24" t="s">
        <v>107</v>
      </c>
      <c r="E20" s="39">
        <f t="shared" si="3"/>
        <v>2.7272727272727271</v>
      </c>
      <c r="F20" s="19" t="s">
        <v>72</v>
      </c>
      <c r="G20" s="19" t="s">
        <v>122</v>
      </c>
      <c r="H20" s="19" t="s">
        <v>20</v>
      </c>
    </row>
    <row r="21" spans="1:10" ht="15" customHeight="1" x14ac:dyDescent="0.35">
      <c r="A21" s="39">
        <f>16/2</f>
        <v>8</v>
      </c>
      <c r="B21" s="39">
        <v>0</v>
      </c>
      <c r="C21" s="39">
        <v>0</v>
      </c>
      <c r="D21" s="24" t="s">
        <v>107</v>
      </c>
      <c r="E21" s="39">
        <f t="shared" si="3"/>
        <v>2.7272727272727271</v>
      </c>
      <c r="F21" s="19" t="s">
        <v>72</v>
      </c>
      <c r="G21" s="70" t="s">
        <v>185</v>
      </c>
      <c r="H21" s="19" t="s">
        <v>20</v>
      </c>
    </row>
    <row r="22" spans="1:10" ht="15" customHeight="1" x14ac:dyDescent="0.35">
      <c r="A22" s="39">
        <v>0</v>
      </c>
      <c r="B22" s="39">
        <f>16/3</f>
        <v>5.333333333333333</v>
      </c>
      <c r="C22" s="39">
        <v>0</v>
      </c>
      <c r="D22" s="24" t="s">
        <v>107</v>
      </c>
      <c r="E22" s="39">
        <f t="shared" si="3"/>
        <v>2.7272727272727271</v>
      </c>
      <c r="F22" s="19" t="s">
        <v>72</v>
      </c>
      <c r="G22" s="70" t="s">
        <v>178</v>
      </c>
      <c r="H22" s="19" t="s">
        <v>20</v>
      </c>
    </row>
    <row r="23" spans="1:10" ht="15" customHeight="1" x14ac:dyDescent="0.35">
      <c r="A23" s="39">
        <v>0</v>
      </c>
      <c r="B23" s="39">
        <f t="shared" ref="B23:B24" si="4">16/3</f>
        <v>5.333333333333333</v>
      </c>
      <c r="C23" s="39">
        <v>0</v>
      </c>
      <c r="D23" s="24" t="s">
        <v>107</v>
      </c>
      <c r="E23" s="39">
        <f t="shared" si="3"/>
        <v>2.7272727272727271</v>
      </c>
      <c r="F23" s="19" t="s">
        <v>72</v>
      </c>
      <c r="G23" s="70" t="s">
        <v>180</v>
      </c>
      <c r="H23" s="19" t="s">
        <v>20</v>
      </c>
    </row>
    <row r="24" spans="1:10" ht="15" customHeight="1" x14ac:dyDescent="0.35">
      <c r="A24" s="39">
        <v>0</v>
      </c>
      <c r="B24" s="39">
        <f t="shared" si="4"/>
        <v>5.333333333333333</v>
      </c>
      <c r="C24" s="39">
        <v>0</v>
      </c>
      <c r="D24" s="24" t="s">
        <v>107</v>
      </c>
      <c r="E24" s="39">
        <f t="shared" si="3"/>
        <v>2.7272727272727271</v>
      </c>
      <c r="F24" s="19" t="s">
        <v>72</v>
      </c>
      <c r="G24" s="19" t="s">
        <v>182</v>
      </c>
      <c r="H24" s="19" t="s">
        <v>20</v>
      </c>
    </row>
    <row r="25" spans="1:10" ht="15" customHeight="1" x14ac:dyDescent="0.35">
      <c r="A25" s="39">
        <v>0</v>
      </c>
      <c r="B25" s="39">
        <v>0</v>
      </c>
      <c r="C25" s="39">
        <v>0</v>
      </c>
      <c r="D25" s="24" t="s">
        <v>68</v>
      </c>
      <c r="E25" s="39">
        <v>0</v>
      </c>
      <c r="F25" s="19" t="s">
        <v>72</v>
      </c>
      <c r="G25" s="19" t="s">
        <v>101</v>
      </c>
      <c r="H25" s="19"/>
    </row>
    <row r="26" spans="1:10" ht="15" customHeight="1" x14ac:dyDescent="0.35">
      <c r="A26" s="39">
        <v>0</v>
      </c>
      <c r="B26" s="39">
        <v>0</v>
      </c>
      <c r="C26" s="39">
        <f>40/4</f>
        <v>10</v>
      </c>
      <c r="D26" s="19" t="s">
        <v>106</v>
      </c>
      <c r="E26" s="39">
        <f>40/15</f>
        <v>2.6666666666666665</v>
      </c>
      <c r="F26" s="19" t="s">
        <v>72</v>
      </c>
      <c r="G26" s="19" t="s">
        <v>113</v>
      </c>
      <c r="H26" s="19" t="s">
        <v>20</v>
      </c>
      <c r="J26" t="s">
        <v>139</v>
      </c>
    </row>
    <row r="27" spans="1:10" ht="15" customHeight="1" x14ac:dyDescent="0.35">
      <c r="A27" s="39">
        <v>0</v>
      </c>
      <c r="B27" s="39">
        <v>0</v>
      </c>
      <c r="C27" s="39">
        <f>40/4</f>
        <v>10</v>
      </c>
      <c r="D27" s="19" t="s">
        <v>106</v>
      </c>
      <c r="E27" s="39">
        <f>40/15</f>
        <v>2.6666666666666665</v>
      </c>
      <c r="F27" s="19" t="s">
        <v>72</v>
      </c>
      <c r="G27" s="19" t="s">
        <v>127</v>
      </c>
      <c r="H27" s="19" t="s">
        <v>20</v>
      </c>
      <c r="J27" t="s">
        <v>140</v>
      </c>
    </row>
    <row r="28" spans="1:10" ht="15" customHeight="1" x14ac:dyDescent="0.35">
      <c r="A28" s="39">
        <v>0</v>
      </c>
      <c r="B28" s="39">
        <v>0</v>
      </c>
      <c r="C28" s="39">
        <v>0</v>
      </c>
      <c r="D28" s="19" t="s">
        <v>68</v>
      </c>
      <c r="E28" s="39">
        <v>0</v>
      </c>
      <c r="F28" s="19" t="s">
        <v>79</v>
      </c>
      <c r="G28" s="19" t="s">
        <v>128</v>
      </c>
      <c r="H28" s="19"/>
      <c r="J28" t="s">
        <v>141</v>
      </c>
    </row>
    <row r="29" spans="1:10" ht="15" customHeight="1" x14ac:dyDescent="0.35">
      <c r="A29" s="39">
        <v>0</v>
      </c>
      <c r="B29" s="39">
        <v>0</v>
      </c>
      <c r="C29" s="39">
        <f>40/4</f>
        <v>10</v>
      </c>
      <c r="D29" s="19" t="s">
        <v>106</v>
      </c>
      <c r="E29" s="39">
        <f>40/15</f>
        <v>2.6666666666666665</v>
      </c>
      <c r="F29" s="19" t="s">
        <v>72</v>
      </c>
      <c r="G29" s="19" t="s">
        <v>152</v>
      </c>
      <c r="H29" s="19" t="s">
        <v>20</v>
      </c>
      <c r="J29" t="s">
        <v>142</v>
      </c>
    </row>
    <row r="30" spans="1:10" ht="15" customHeight="1" x14ac:dyDescent="0.35">
      <c r="A30" s="39">
        <v>0</v>
      </c>
      <c r="B30" s="39">
        <v>0</v>
      </c>
      <c r="C30" s="39">
        <f>40/4</f>
        <v>10</v>
      </c>
      <c r="D30" s="19" t="s">
        <v>106</v>
      </c>
      <c r="E30" s="39">
        <f>40/15</f>
        <v>2.6666666666666665</v>
      </c>
      <c r="F30" s="19" t="s">
        <v>72</v>
      </c>
      <c r="G30" s="19" t="s">
        <v>114</v>
      </c>
      <c r="H30" s="19" t="s">
        <v>20</v>
      </c>
      <c r="J30" t="s">
        <v>143</v>
      </c>
    </row>
    <row r="31" spans="1:10" ht="15" customHeight="1" x14ac:dyDescent="0.35">
      <c r="A31" s="39">
        <v>0</v>
      </c>
      <c r="B31" s="39">
        <f>40/6</f>
        <v>6.666666666666667</v>
      </c>
      <c r="C31" s="39">
        <v>0</v>
      </c>
      <c r="D31" s="19" t="s">
        <v>106</v>
      </c>
      <c r="E31" s="39">
        <f t="shared" ref="E31:E39" si="5">40/13</f>
        <v>3.0769230769230771</v>
      </c>
      <c r="F31" s="19" t="s">
        <v>72</v>
      </c>
      <c r="G31" s="19" t="s">
        <v>138</v>
      </c>
      <c r="H31" s="19" t="s">
        <v>20</v>
      </c>
      <c r="J31" t="s">
        <v>144</v>
      </c>
    </row>
    <row r="32" spans="1:10" ht="15" customHeight="1" x14ac:dyDescent="0.35">
      <c r="A32" s="39">
        <v>0</v>
      </c>
      <c r="B32" s="39">
        <f t="shared" ref="B32:B36" si="6">40/6</f>
        <v>6.666666666666667</v>
      </c>
      <c r="C32" s="39">
        <v>0</v>
      </c>
      <c r="D32" s="19" t="s">
        <v>106</v>
      </c>
      <c r="E32" s="39">
        <f t="shared" si="5"/>
        <v>3.0769230769230771</v>
      </c>
      <c r="F32" s="19" t="s">
        <v>72</v>
      </c>
      <c r="G32" s="19" t="s">
        <v>115</v>
      </c>
      <c r="H32" s="19" t="s">
        <v>20</v>
      </c>
      <c r="J32" t="s">
        <v>145</v>
      </c>
    </row>
    <row r="33" spans="1:10" ht="15" customHeight="1" x14ac:dyDescent="0.35">
      <c r="A33" s="39">
        <v>0</v>
      </c>
      <c r="B33" s="39">
        <f t="shared" si="6"/>
        <v>6.666666666666667</v>
      </c>
      <c r="C33" s="39">
        <v>0</v>
      </c>
      <c r="D33" s="19" t="s">
        <v>106</v>
      </c>
      <c r="E33" s="39">
        <f t="shared" si="5"/>
        <v>3.0769230769230771</v>
      </c>
      <c r="F33" s="19" t="s">
        <v>72</v>
      </c>
      <c r="G33" s="19" t="s">
        <v>116</v>
      </c>
      <c r="H33" s="19" t="s">
        <v>20</v>
      </c>
      <c r="J33" t="s">
        <v>146</v>
      </c>
    </row>
    <row r="34" spans="1:10" ht="15" customHeight="1" x14ac:dyDescent="0.35">
      <c r="A34" s="39">
        <v>0</v>
      </c>
      <c r="B34" s="39">
        <f t="shared" si="6"/>
        <v>6.666666666666667</v>
      </c>
      <c r="C34" s="39">
        <v>0</v>
      </c>
      <c r="D34" s="19" t="s">
        <v>106</v>
      </c>
      <c r="E34" s="39">
        <f t="shared" si="5"/>
        <v>3.0769230769230771</v>
      </c>
      <c r="F34" s="19" t="s">
        <v>72</v>
      </c>
      <c r="G34" s="19" t="s">
        <v>123</v>
      </c>
      <c r="H34" s="19" t="s">
        <v>20</v>
      </c>
      <c r="J34" t="s">
        <v>147</v>
      </c>
    </row>
    <row r="35" spans="1:10" ht="15" customHeight="1" x14ac:dyDescent="0.35">
      <c r="A35" s="39">
        <v>0</v>
      </c>
      <c r="B35" s="39">
        <f t="shared" si="6"/>
        <v>6.666666666666667</v>
      </c>
      <c r="C35" s="39">
        <v>0</v>
      </c>
      <c r="D35" s="19" t="s">
        <v>106</v>
      </c>
      <c r="E35" s="39">
        <f>40/15</f>
        <v>2.6666666666666665</v>
      </c>
      <c r="F35" s="19" t="s">
        <v>72</v>
      </c>
      <c r="G35" s="70" t="s">
        <v>208</v>
      </c>
      <c r="H35" s="19" t="s">
        <v>20</v>
      </c>
      <c r="J35" t="s">
        <v>148</v>
      </c>
    </row>
    <row r="36" spans="1:10" ht="15" customHeight="1" x14ac:dyDescent="0.35">
      <c r="A36" s="39">
        <v>0</v>
      </c>
      <c r="B36" s="39">
        <f t="shared" si="6"/>
        <v>6.666666666666667</v>
      </c>
      <c r="C36" s="39">
        <v>0</v>
      </c>
      <c r="D36" s="19" t="s">
        <v>106</v>
      </c>
      <c r="E36" s="39">
        <f>40/15</f>
        <v>2.6666666666666665</v>
      </c>
      <c r="F36" s="19" t="s">
        <v>72</v>
      </c>
      <c r="G36" s="70" t="s">
        <v>209</v>
      </c>
      <c r="H36" s="19" t="s">
        <v>20</v>
      </c>
    </row>
    <row r="37" spans="1:10" ht="15" customHeight="1" x14ac:dyDescent="0.35">
      <c r="A37" s="39">
        <f>40/5</f>
        <v>8</v>
      </c>
      <c r="B37" s="39">
        <v>0</v>
      </c>
      <c r="C37" s="39">
        <v>0</v>
      </c>
      <c r="D37" s="19" t="s">
        <v>106</v>
      </c>
      <c r="E37" s="39">
        <f t="shared" si="5"/>
        <v>3.0769230769230771</v>
      </c>
      <c r="F37" s="19" t="s">
        <v>72</v>
      </c>
      <c r="G37" s="19" t="s">
        <v>124</v>
      </c>
      <c r="H37" s="19" t="s">
        <v>20</v>
      </c>
      <c r="J37" t="s">
        <v>149</v>
      </c>
    </row>
    <row r="38" spans="1:10" ht="15" customHeight="1" x14ac:dyDescent="0.35">
      <c r="A38" s="39">
        <f t="shared" ref="A38:A41" si="7">40/5</f>
        <v>8</v>
      </c>
      <c r="B38" s="39">
        <v>0</v>
      </c>
      <c r="C38" s="39">
        <v>0</v>
      </c>
      <c r="D38" s="19" t="s">
        <v>106</v>
      </c>
      <c r="E38" s="39">
        <f t="shared" si="5"/>
        <v>3.0769230769230771</v>
      </c>
      <c r="F38" s="19" t="s">
        <v>72</v>
      </c>
      <c r="G38" s="19" t="s">
        <v>136</v>
      </c>
      <c r="H38" s="19" t="s">
        <v>20</v>
      </c>
      <c r="J38" t="s">
        <v>150</v>
      </c>
    </row>
    <row r="39" spans="1:10" ht="15" customHeight="1" x14ac:dyDescent="0.35">
      <c r="A39" s="39">
        <f t="shared" si="7"/>
        <v>8</v>
      </c>
      <c r="B39" s="39">
        <v>0</v>
      </c>
      <c r="C39" s="39">
        <v>0</v>
      </c>
      <c r="D39" s="19" t="s">
        <v>106</v>
      </c>
      <c r="E39" s="39">
        <f t="shared" si="5"/>
        <v>3.0769230769230771</v>
      </c>
      <c r="F39" s="19" t="s">
        <v>72</v>
      </c>
      <c r="G39" s="70" t="s">
        <v>137</v>
      </c>
      <c r="H39" s="19" t="s">
        <v>20</v>
      </c>
      <c r="J39" t="s">
        <v>151</v>
      </c>
    </row>
    <row r="40" spans="1:10" ht="15" customHeight="1" x14ac:dyDescent="0.35">
      <c r="A40" s="39">
        <f t="shared" si="7"/>
        <v>8</v>
      </c>
      <c r="B40" s="39">
        <v>0</v>
      </c>
      <c r="C40" s="39">
        <v>0</v>
      </c>
      <c r="D40" s="19" t="s">
        <v>106</v>
      </c>
      <c r="E40" s="39">
        <f>40/15</f>
        <v>2.6666666666666665</v>
      </c>
      <c r="F40" s="19" t="s">
        <v>72</v>
      </c>
      <c r="G40" s="70" t="s">
        <v>192</v>
      </c>
      <c r="H40" s="19" t="s">
        <v>20</v>
      </c>
    </row>
    <row r="41" spans="1:10" ht="15" customHeight="1" x14ac:dyDescent="0.35">
      <c r="A41" s="39">
        <f t="shared" si="7"/>
        <v>8</v>
      </c>
      <c r="B41" s="39">
        <v>0</v>
      </c>
      <c r="C41" s="39">
        <v>0</v>
      </c>
      <c r="D41" s="19" t="s">
        <v>106</v>
      </c>
      <c r="E41" s="39">
        <f>40/15</f>
        <v>2.6666666666666665</v>
      </c>
      <c r="F41" s="19" t="s">
        <v>72</v>
      </c>
      <c r="G41" s="70" t="s">
        <v>194</v>
      </c>
      <c r="H41" s="19" t="s">
        <v>20</v>
      </c>
    </row>
    <row r="42" spans="1:10" ht="15" customHeight="1" x14ac:dyDescent="0.35">
      <c r="A42" s="39">
        <v>0</v>
      </c>
      <c r="B42" s="39">
        <v>0</v>
      </c>
      <c r="C42" s="39">
        <v>0</v>
      </c>
      <c r="D42" s="24" t="s">
        <v>68</v>
      </c>
      <c r="E42" s="39">
        <v>0</v>
      </c>
      <c r="F42" s="19" t="s">
        <v>72</v>
      </c>
      <c r="G42" s="19" t="s">
        <v>102</v>
      </c>
      <c r="H42" s="19"/>
    </row>
    <row r="43" spans="1:10" ht="15" customHeight="1" x14ac:dyDescent="0.35">
      <c r="A43" s="39">
        <v>0</v>
      </c>
      <c r="B43" s="39">
        <v>0</v>
      </c>
      <c r="C43" s="39">
        <v>0</v>
      </c>
      <c r="D43" s="24" t="s">
        <v>68</v>
      </c>
      <c r="E43" s="39">
        <v>0</v>
      </c>
      <c r="F43" s="19" t="s">
        <v>79</v>
      </c>
      <c r="G43" s="19" t="s">
        <v>103</v>
      </c>
      <c r="H43" s="19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e523bf45-09fb-4f9b-aa49-e403c0417b10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FA310A980BBAC44A75191F65BAE12E7" ma:contentTypeVersion="17" ma:contentTypeDescription="Crear nuevo documento." ma:contentTypeScope="" ma:versionID="1b66a577699fb63061267e374f5870ae">
  <xsd:schema xmlns:xsd="http://www.w3.org/2001/XMLSchema" xmlns:xs="http://www.w3.org/2001/XMLSchema" xmlns:p="http://schemas.microsoft.com/office/2006/metadata/properties" xmlns:ns3="e523bf45-09fb-4f9b-aa49-e403c0417b10" xmlns:ns4="726c8eaf-14c1-4e89-a6e9-59524033e4a7" targetNamespace="http://schemas.microsoft.com/office/2006/metadata/properties" ma:root="true" ma:fieldsID="1778c55661338f28ad7931875976b49f" ns3:_="" ns4:_="">
    <xsd:import namespace="e523bf45-09fb-4f9b-aa49-e403c0417b10"/>
    <xsd:import namespace="726c8eaf-14c1-4e89-a6e9-59524033e4a7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4:SharedWithUsers" minOccurs="0"/>
                <xsd:element ref="ns4:SharedWithDetails" minOccurs="0"/>
                <xsd:element ref="ns4:SharingHintHash" minOccurs="0"/>
                <xsd:element ref="ns3:MediaLengthInSeconds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23bf45-09fb-4f9b-aa49-e403c0417b1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_activity" ma:index="21" nillable="true" ma:displayName="_activity" ma:hidden="true" ma:internalName="_activity">
      <xsd:simpleType>
        <xsd:restriction base="dms:Note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26c8eaf-14c1-4e89-a6e9-59524033e4a7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9" nillable="true" ma:displayName="Hash de la sugerencia para comparti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��
</file>

<file path=customXml/itemProps1.xml><?xml version="1.0" encoding="utf-8"?>
<ds:datastoreItem xmlns:ds="http://schemas.openxmlformats.org/officeDocument/2006/customXml" ds:itemID="{9021CB17-80F6-4B1D-9C82-0C36B1D4B169}">
  <ds:schemaRefs>
    <ds:schemaRef ds:uri="http://schemas.microsoft.com/office/2006/metadata/properties"/>
    <ds:schemaRef ds:uri="http://schemas.microsoft.com/office/infopath/2007/PartnerControls"/>
    <ds:schemaRef ds:uri="e523bf45-09fb-4f9b-aa49-e403c0417b10"/>
  </ds:schemaRefs>
</ds:datastoreItem>
</file>

<file path=customXml/itemProps2.xml><?xml version="1.0" encoding="utf-8"?>
<ds:datastoreItem xmlns:ds="http://schemas.openxmlformats.org/officeDocument/2006/customXml" ds:itemID="{462ED4BD-0CE0-4FDF-8FF3-F2F79D1AF87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523bf45-09fb-4f9b-aa49-e403c0417b10"/>
    <ds:schemaRef ds:uri="726c8eaf-14c1-4e89-a6e9-59524033e4a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7FF7801-3054-4CCF-A9EE-106F9F9A2BBD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3A97DFE0-2812-4F8D-BEA5-EADA0185B0E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INFORME</vt:lpstr>
      <vt:lpstr>Videos</vt:lpstr>
      <vt:lpstr>PUNTAJES</vt:lpstr>
      <vt:lpstr>Panel</vt:lpstr>
      <vt:lpstr>DATA INFORME</vt:lpstr>
      <vt:lpstr>Export</vt:lpstr>
      <vt:lpstr>ENCUESTA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Angie Lorena Gomez Romero</dc:creator>
  <cp:keywords/>
  <dc:description/>
  <cp:lastModifiedBy>Camila Buitrago Buitrago</cp:lastModifiedBy>
  <cp:revision/>
  <dcterms:created xsi:type="dcterms:W3CDTF">2024-08-27T21:29:06Z</dcterms:created>
  <dcterms:modified xsi:type="dcterms:W3CDTF">2026-06-03T14:06:55Z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0x0101009FA310A980BBAC44A75191F65BAE12E7</vt:lpwstr>
  </property>
  <property fmtid="{D5CDD505-2E9C-101B-9397-08002B2CF9AE}" pid="3" name="MSIP_Label_b64e5b13-2d98-4ce3-adad-008bcee42cb2_Enabled">
    <vt:lpwstr>true</vt:lpwstr>
  </property>
  <property fmtid="{D5CDD505-2E9C-101B-9397-08002B2CF9AE}" pid="4" name="MSIP_Label_b64e5b13-2d98-4ce3-adad-008bcee42cb2_SetDate">
    <vt:lpwstr>2025-02-18T13:41:51Z</vt:lpwstr>
  </property>
  <property fmtid="{D5CDD505-2E9C-101B-9397-08002B2CF9AE}" pid="5" name="MSIP_Label_b64e5b13-2d98-4ce3-adad-008bcee42cb2_Method">
    <vt:lpwstr>Standard</vt:lpwstr>
  </property>
  <property fmtid="{D5CDD505-2E9C-101B-9397-08002B2CF9AE}" pid="6" name="MSIP_Label_b64e5b13-2d98-4ce3-adad-008bcee42cb2_Name">
    <vt:lpwstr>Información Confidencial</vt:lpwstr>
  </property>
  <property fmtid="{D5CDD505-2E9C-101B-9397-08002B2CF9AE}" pid="7" name="MSIP_Label_b64e5b13-2d98-4ce3-adad-008bcee42cb2_SiteId">
    <vt:lpwstr>d2bc208e-4fff-4078-b5ac-f69a6a266ff3</vt:lpwstr>
  </property>
  <property fmtid="{D5CDD505-2E9C-101B-9397-08002B2CF9AE}" pid="8" name="MSIP_Label_b64e5b13-2d98-4ce3-adad-008bcee42cb2_ActionId">
    <vt:lpwstr>01ccb257-027b-4f45-9af8-536a979f0bdf</vt:lpwstr>
  </property>
  <property fmtid="{D5CDD505-2E9C-101B-9397-08002B2CF9AE}" pid="9" name="MSIP_Label_b64e5b13-2d98-4ce3-adad-008bcee42cb2_ContentBits">
    <vt:lpwstr>0</vt:lpwstr>
  </property>
  <property fmtid="{D5CDD505-2E9C-101B-9397-08002B2CF9AE}" pid="10" name="MSIP_Label_b64e5b13-2d98-4ce3-adad-008bcee42cb2_Tag">
    <vt:lpwstr>10, 3, 0, 2</vt:lpwstr>
  </property>
</Properties>
</file>