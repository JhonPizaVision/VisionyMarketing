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2026/FEBRERO/Informe/"/>
    </mc:Choice>
  </mc:AlternateContent>
  <xr:revisionPtr revIDLastSave="2408" documentId="8_{AEDEEC47-FF89-4AE5-ABD7-66D1B1D358E3}" xr6:coauthVersionLast="47" xr6:coauthVersionMax="47" xr10:uidLastSave="{873137A7-85ED-460D-B35B-9794270E4D66}"/>
  <bookViews>
    <workbookView xWindow="-110" yWindow="-110" windowWidth="19420" windowHeight="1150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ENCUESTA!$A$1:$H$42</definedName>
    <definedName name="_xlnm._FilterDatabase" localSheetId="3" hidden="1">Panel!#REF!</definedName>
    <definedName name="_xlnm._FilterDatabase" localSheetId="1" hidden="1">Videos!$A$1:$C$6</definedName>
    <definedName name="DatosExternos_1" localSheetId="4" hidden="1">'DATA INFORME'!$A$1:$AX$6</definedName>
    <definedName name="DatosExternos_2" localSheetId="2" hidden="1">PUNTAJES!$A$1:$K$147</definedName>
    <definedName name="SegmentaciónDeDatos_CIUDAD">#N/A</definedName>
    <definedName name="SegmentaciónDeDatos_NOMBRE_COMERCIAL">#N/A</definedName>
  </definedNames>
  <calcPr calcId="191028"/>
  <pivotCaches>
    <pivotCache cacheId="0" r:id="rId8"/>
    <pivotCache cacheId="1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P77" i="5" s="1"/>
  <c r="O78" i="5"/>
  <c r="P78" i="5" s="1"/>
  <c r="O79" i="5"/>
  <c r="O80" i="5"/>
  <c r="O81" i="5"/>
  <c r="O82" i="5"/>
  <c r="O83" i="5"/>
  <c r="O84" i="5"/>
  <c r="P84" i="5" s="1"/>
  <c r="O85" i="5"/>
  <c r="O86" i="5"/>
  <c r="O87" i="5"/>
  <c r="O88" i="5"/>
  <c r="O89" i="5"/>
  <c r="O90" i="5"/>
  <c r="P90" i="5" s="1"/>
  <c r="O91" i="5"/>
  <c r="O92" i="5"/>
  <c r="O93" i="5"/>
  <c r="O94" i="5"/>
  <c r="O95" i="5"/>
  <c r="O96" i="5"/>
  <c r="O97" i="5"/>
  <c r="O98" i="5"/>
  <c r="O99" i="5"/>
  <c r="O100" i="5"/>
  <c r="O101" i="5"/>
  <c r="O102" i="5"/>
  <c r="O103" i="5"/>
  <c r="O104" i="5"/>
  <c r="O105" i="5"/>
  <c r="O106" i="5"/>
  <c r="O107" i="5"/>
  <c r="O108" i="5"/>
  <c r="P108" i="5" s="1"/>
  <c r="O109" i="5"/>
  <c r="O110" i="5"/>
  <c r="O111" i="5"/>
  <c r="O112" i="5"/>
  <c r="O113" i="5"/>
  <c r="O114" i="5"/>
  <c r="O115" i="5"/>
  <c r="O116" i="5"/>
  <c r="O117" i="5"/>
  <c r="O118" i="5"/>
  <c r="O119" i="5"/>
  <c r="O120" i="5"/>
  <c r="O121" i="5"/>
  <c r="O122" i="5"/>
  <c r="O123" i="5"/>
  <c r="O124" i="5"/>
  <c r="P124" i="5" s="1"/>
  <c r="O125" i="5"/>
  <c r="O126" i="5"/>
  <c r="O127" i="5"/>
  <c r="O128" i="5"/>
  <c r="O129" i="5"/>
  <c r="O130" i="5"/>
  <c r="P130" i="5" s="1"/>
  <c r="O131" i="5"/>
  <c r="O132" i="5"/>
  <c r="O133" i="5"/>
  <c r="O134" i="5"/>
  <c r="O135" i="5"/>
  <c r="O136" i="5"/>
  <c r="P136" i="5" s="1"/>
  <c r="O137" i="5"/>
  <c r="O138" i="5"/>
  <c r="P138" i="5" s="1"/>
  <c r="O139" i="5"/>
  <c r="O140" i="5"/>
  <c r="P140" i="5" s="1"/>
  <c r="O141" i="5"/>
  <c r="O142" i="5"/>
  <c r="O143" i="5"/>
  <c r="O144" i="5"/>
  <c r="O145" i="5"/>
  <c r="P145" i="5" s="1"/>
  <c r="O146" i="5"/>
  <c r="O147" i="5"/>
  <c r="P147" i="5" s="1"/>
  <c r="P2" i="5"/>
  <c r="P5" i="5"/>
  <c r="P12" i="5"/>
  <c r="P16" i="5"/>
  <c r="P21" i="5"/>
  <c r="P26" i="5"/>
  <c r="P28" i="5"/>
  <c r="P42" i="5"/>
  <c r="P49" i="5"/>
  <c r="P57" i="5"/>
  <c r="P58" i="5"/>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E35" i="8"/>
  <c r="E34" i="8"/>
  <c r="E33" i="8"/>
  <c r="E32" i="8"/>
  <c r="E31" i="8"/>
  <c r="E30" i="8"/>
  <c r="E29" i="8"/>
  <c r="E28" i="8"/>
  <c r="E27" i="8"/>
  <c r="E26" i="8"/>
  <c r="E25" i="8"/>
  <c r="E24" i="8"/>
  <c r="E22" i="8"/>
  <c r="E21" i="8"/>
  <c r="E20" i="8"/>
  <c r="E19" i="8"/>
  <c r="E18" i="8"/>
  <c r="E17" i="8"/>
  <c r="E16" i="8"/>
  <c r="C40" i="8"/>
  <c r="B40" i="8"/>
  <c r="A40" i="8"/>
  <c r="C39" i="8"/>
  <c r="B39" i="8"/>
  <c r="A39" i="8"/>
  <c r="C38" i="8"/>
  <c r="B38" i="8"/>
  <c r="A38" i="8"/>
  <c r="C37" i="8"/>
  <c r="B37" i="8"/>
  <c r="A37" i="8"/>
  <c r="E38" i="8"/>
  <c r="E39" i="8"/>
  <c r="E40" i="8"/>
  <c r="E37" i="8"/>
  <c r="C13" i="8"/>
  <c r="B13" i="8"/>
  <c r="A13" i="8"/>
  <c r="C12" i="8"/>
  <c r="B12" i="8"/>
  <c r="A12" i="8"/>
  <c r="C11" i="8"/>
  <c r="B11" i="8"/>
  <c r="A11" i="8"/>
  <c r="C10" i="8"/>
  <c r="B10" i="8"/>
  <c r="A10" i="8"/>
  <c r="C9" i="8"/>
  <c r="B9" i="8"/>
  <c r="A9" i="8"/>
  <c r="C8" i="8"/>
  <c r="B8" i="8"/>
  <c r="A8" i="8"/>
  <c r="C7" i="8"/>
  <c r="B7" i="8"/>
  <c r="A7" i="8"/>
  <c r="C6" i="8"/>
  <c r="B6" i="8"/>
  <c r="A6" i="8"/>
  <c r="C5" i="8"/>
  <c r="B5" i="8"/>
  <c r="A5" i="8"/>
  <c r="C4" i="8"/>
  <c r="B4" i="8"/>
  <c r="A4" i="8"/>
  <c r="E13" i="8"/>
  <c r="E12" i="8"/>
  <c r="E11" i="8"/>
  <c r="E10" i="8"/>
  <c r="E9" i="8"/>
  <c r="E8" i="8"/>
  <c r="E7" i="8"/>
  <c r="E6" i="8"/>
  <c r="E5" i="8"/>
  <c r="E4" i="8"/>
  <c r="C26" i="8"/>
  <c r="C25" i="8"/>
  <c r="C24" i="8"/>
  <c r="B32" i="8"/>
  <c r="B31" i="8"/>
  <c r="B30" i="8"/>
  <c r="B29" i="8"/>
  <c r="B28" i="8"/>
  <c r="B27" i="8"/>
  <c r="A35" i="8"/>
  <c r="A34" i="8"/>
  <c r="A33" i="8"/>
  <c r="C22" i="8"/>
  <c r="C21" i="8"/>
  <c r="C20" i="8"/>
  <c r="C19" i="8"/>
  <c r="C18" i="8"/>
  <c r="C17" i="8"/>
  <c r="C16" i="8"/>
  <c r="C15" i="8"/>
  <c r="E15" i="8"/>
  <c r="G4" i="1"/>
  <c r="H4" i="1"/>
  <c r="I4" i="1"/>
  <c r="G3" i="1"/>
  <c r="H3" i="1"/>
  <c r="I3" i="1"/>
  <c r="N82" i="5" l="1"/>
  <c r="P82" i="5" s="1"/>
  <c r="M82" i="5"/>
  <c r="N83" i="5"/>
  <c r="P83" i="5" s="1"/>
  <c r="M83" i="5"/>
  <c r="N84" i="5"/>
  <c r="M84" i="5"/>
  <c r="N85" i="5"/>
  <c r="P85" i="5" s="1"/>
  <c r="M85" i="5"/>
  <c r="N86" i="5"/>
  <c r="P86" i="5" s="1"/>
  <c r="M86" i="5"/>
  <c r="N87" i="5"/>
  <c r="P87" i="5" s="1"/>
  <c r="M87" i="5"/>
  <c r="N88" i="5"/>
  <c r="P88" i="5" s="1"/>
  <c r="M88" i="5"/>
  <c r="N89" i="5"/>
  <c r="P89" i="5" s="1"/>
  <c r="M89" i="5"/>
  <c r="N90" i="5"/>
  <c r="M90" i="5"/>
  <c r="N91" i="5"/>
  <c r="P91" i="5" s="1"/>
  <c r="M91" i="5"/>
  <c r="N92" i="5"/>
  <c r="P92" i="5" s="1"/>
  <c r="M92" i="5"/>
  <c r="N93" i="5"/>
  <c r="P93" i="5" s="1"/>
  <c r="M93" i="5"/>
  <c r="N94" i="5"/>
  <c r="P94" i="5" s="1"/>
  <c r="M94" i="5"/>
  <c r="N95" i="5"/>
  <c r="P95" i="5" s="1"/>
  <c r="M95" i="5"/>
  <c r="N2" i="5"/>
  <c r="M2" i="5"/>
  <c r="N3" i="5"/>
  <c r="P3" i="5" s="1"/>
  <c r="M3" i="5"/>
  <c r="N4" i="5"/>
  <c r="P4" i="5" s="1"/>
  <c r="M4" i="5"/>
  <c r="N5" i="5"/>
  <c r="M5" i="5"/>
  <c r="N6" i="5"/>
  <c r="P6" i="5" s="1"/>
  <c r="M6" i="5"/>
  <c r="N7" i="5"/>
  <c r="P7" i="5" s="1"/>
  <c r="M7" i="5"/>
  <c r="N8" i="5"/>
  <c r="P8" i="5" s="1"/>
  <c r="M8" i="5"/>
  <c r="N9" i="5"/>
  <c r="P9" i="5" s="1"/>
  <c r="M9" i="5"/>
  <c r="N10" i="5"/>
  <c r="P10" i="5" s="1"/>
  <c r="M10" i="5"/>
  <c r="N11" i="5"/>
  <c r="P11" i="5" s="1"/>
  <c r="M11" i="5"/>
  <c r="N12" i="5"/>
  <c r="M12" i="5"/>
  <c r="N13" i="5"/>
  <c r="P13" i="5" s="1"/>
  <c r="M13" i="5"/>
  <c r="N14" i="5"/>
  <c r="P14" i="5" s="1"/>
  <c r="M14" i="5"/>
  <c r="N15" i="5"/>
  <c r="P15" i="5" s="1"/>
  <c r="M15" i="5"/>
  <c r="M16" i="5"/>
  <c r="N16" i="5"/>
  <c r="M17" i="5"/>
  <c r="N17" i="5"/>
  <c r="P17" i="5" s="1"/>
  <c r="M18" i="5"/>
  <c r="N18" i="5"/>
  <c r="P18" i="5" s="1"/>
  <c r="M19" i="5"/>
  <c r="N19" i="5"/>
  <c r="P19" i="5" s="1"/>
  <c r="M20" i="5"/>
  <c r="N20" i="5"/>
  <c r="P20" i="5" s="1"/>
  <c r="M21" i="5"/>
  <c r="N21" i="5"/>
  <c r="N22" i="5"/>
  <c r="P22" i="5" s="1"/>
  <c r="M22" i="5"/>
  <c r="N23" i="5"/>
  <c r="P23" i="5" s="1"/>
  <c r="M23" i="5"/>
  <c r="N24" i="5"/>
  <c r="P24" i="5" s="1"/>
  <c r="M24" i="5"/>
  <c r="M25" i="5"/>
  <c r="N25" i="5"/>
  <c r="P25" i="5" s="1"/>
  <c r="N26" i="5"/>
  <c r="M26" i="5"/>
  <c r="M27" i="5"/>
  <c r="N27" i="5"/>
  <c r="P27" i="5" s="1"/>
  <c r="M28" i="5"/>
  <c r="N28" i="5"/>
  <c r="N29" i="5"/>
  <c r="P29" i="5" s="1"/>
  <c r="M29" i="5"/>
  <c r="N30" i="5"/>
  <c r="P30" i="5" s="1"/>
  <c r="M30" i="5"/>
  <c r="M31" i="5"/>
  <c r="N31" i="5"/>
  <c r="P31" i="5" s="1"/>
  <c r="M32" i="5"/>
  <c r="N32" i="5"/>
  <c r="P32" i="5" s="1"/>
  <c r="M33" i="5"/>
  <c r="N33" i="5"/>
  <c r="P33" i="5" s="1"/>
  <c r="M34" i="5"/>
  <c r="N34" i="5"/>
  <c r="P34" i="5" s="1"/>
  <c r="M35" i="5"/>
  <c r="N35" i="5"/>
  <c r="P35" i="5" s="1"/>
  <c r="M36" i="5"/>
  <c r="N36" i="5"/>
  <c r="P36" i="5" s="1"/>
  <c r="M37" i="5"/>
  <c r="N37" i="5"/>
  <c r="P37" i="5" s="1"/>
  <c r="N38" i="5"/>
  <c r="P38" i="5" s="1"/>
  <c r="M38" i="5"/>
  <c r="M39" i="5"/>
  <c r="N39" i="5"/>
  <c r="P39" i="5" s="1"/>
  <c r="N40" i="5"/>
  <c r="P40" i="5" s="1"/>
  <c r="M40" i="5"/>
  <c r="N41" i="5"/>
  <c r="P41" i="5" s="1"/>
  <c r="M41" i="5"/>
  <c r="N42" i="5"/>
  <c r="M42" i="5"/>
  <c r="M43" i="5"/>
  <c r="N43" i="5"/>
  <c r="P43" i="5" s="1"/>
  <c r="M44" i="5"/>
  <c r="N44" i="5"/>
  <c r="P44" i="5" s="1"/>
  <c r="M45" i="5"/>
  <c r="N45" i="5"/>
  <c r="P45" i="5" s="1"/>
  <c r="M46" i="5"/>
  <c r="N46" i="5"/>
  <c r="P46" i="5" s="1"/>
  <c r="M47" i="5"/>
  <c r="N47" i="5"/>
  <c r="P47" i="5" s="1"/>
  <c r="M48" i="5"/>
  <c r="N48" i="5"/>
  <c r="P48" i="5" s="1"/>
  <c r="M49" i="5"/>
  <c r="N49" i="5"/>
  <c r="M50" i="5"/>
  <c r="N50" i="5"/>
  <c r="P50" i="5" s="1"/>
  <c r="M51" i="5"/>
  <c r="N51" i="5"/>
  <c r="P51" i="5" s="1"/>
  <c r="N52" i="5"/>
  <c r="P52" i="5" s="1"/>
  <c r="M52" i="5"/>
  <c r="M53" i="5"/>
  <c r="N53" i="5"/>
  <c r="P53" i="5" s="1"/>
  <c r="M54" i="5"/>
  <c r="N54" i="5"/>
  <c r="P54" i="5" s="1"/>
  <c r="M55" i="5"/>
  <c r="N55" i="5"/>
  <c r="P55" i="5" s="1"/>
  <c r="M56" i="5"/>
  <c r="N56" i="5"/>
  <c r="P56" i="5" s="1"/>
  <c r="M57" i="5"/>
  <c r="N57" i="5"/>
  <c r="M58" i="5"/>
  <c r="N58" i="5"/>
  <c r="M59" i="5"/>
  <c r="N59" i="5"/>
  <c r="P59" i="5" s="1"/>
  <c r="M60" i="5"/>
  <c r="N60" i="5"/>
  <c r="P60" i="5" s="1"/>
  <c r="M61" i="5"/>
  <c r="N61" i="5"/>
  <c r="P61" i="5" s="1"/>
  <c r="M62" i="5"/>
  <c r="N62" i="5"/>
  <c r="P62" i="5" s="1"/>
  <c r="M63" i="5"/>
  <c r="N63" i="5"/>
  <c r="P63" i="5" s="1"/>
  <c r="M64" i="5"/>
  <c r="N64" i="5"/>
  <c r="P64" i="5" s="1"/>
  <c r="M65" i="5"/>
  <c r="N65" i="5"/>
  <c r="P65" i="5" s="1"/>
  <c r="M66" i="5"/>
  <c r="N66" i="5"/>
  <c r="P66" i="5" s="1"/>
  <c r="M67" i="5"/>
  <c r="N67" i="5"/>
  <c r="P67" i="5" s="1"/>
  <c r="M68" i="5"/>
  <c r="N68" i="5"/>
  <c r="P68" i="5" s="1"/>
  <c r="M69" i="5"/>
  <c r="N69" i="5"/>
  <c r="P69" i="5" s="1"/>
  <c r="M70" i="5"/>
  <c r="N70" i="5"/>
  <c r="P70" i="5" s="1"/>
  <c r="M71" i="5"/>
  <c r="N71" i="5"/>
  <c r="P71" i="5" s="1"/>
  <c r="M72" i="5"/>
  <c r="N72" i="5"/>
  <c r="P72" i="5" s="1"/>
  <c r="M73" i="5"/>
  <c r="N73" i="5"/>
  <c r="P73" i="5" s="1"/>
  <c r="M74" i="5"/>
  <c r="N74" i="5"/>
  <c r="P74" i="5" s="1"/>
  <c r="M75" i="5"/>
  <c r="N75" i="5"/>
  <c r="P75" i="5" s="1"/>
  <c r="M76" i="5"/>
  <c r="N76" i="5"/>
  <c r="P76" i="5" s="1"/>
  <c r="M77" i="5"/>
  <c r="N77" i="5"/>
  <c r="M78" i="5"/>
  <c r="N78" i="5"/>
  <c r="M79" i="5"/>
  <c r="N79" i="5"/>
  <c r="P79" i="5" s="1"/>
  <c r="M80" i="5"/>
  <c r="N80" i="5"/>
  <c r="P80" i="5" s="1"/>
  <c r="M81" i="5"/>
  <c r="N81" i="5"/>
  <c r="P81" i="5" s="1"/>
  <c r="M96" i="5"/>
  <c r="N96" i="5"/>
  <c r="P96" i="5" s="1"/>
  <c r="M97" i="5"/>
  <c r="N97" i="5"/>
  <c r="P97" i="5" s="1"/>
  <c r="M98" i="5"/>
  <c r="N98" i="5"/>
  <c r="P98" i="5" s="1"/>
  <c r="M99" i="5"/>
  <c r="N99" i="5"/>
  <c r="P99" i="5" s="1"/>
  <c r="M100" i="5"/>
  <c r="N100" i="5"/>
  <c r="P100" i="5" s="1"/>
  <c r="N101" i="5"/>
  <c r="P101" i="5" s="1"/>
  <c r="M101" i="5"/>
  <c r="N102" i="5"/>
  <c r="P102" i="5" s="1"/>
  <c r="M102" i="5"/>
  <c r="N103" i="5"/>
  <c r="P103" i="5" s="1"/>
  <c r="M103" i="5"/>
  <c r="M104" i="5"/>
  <c r="N104" i="5"/>
  <c r="P104" i="5" s="1"/>
  <c r="N105" i="5"/>
  <c r="P105" i="5" s="1"/>
  <c r="M105" i="5"/>
  <c r="N106" i="5"/>
  <c r="P106" i="5" s="1"/>
  <c r="M106" i="5"/>
  <c r="N107" i="5"/>
  <c r="P107" i="5" s="1"/>
  <c r="M107" i="5"/>
  <c r="M108" i="5"/>
  <c r="N108" i="5"/>
  <c r="N109" i="5"/>
  <c r="P109" i="5" s="1"/>
  <c r="M109" i="5"/>
  <c r="N110" i="5"/>
  <c r="P110" i="5" s="1"/>
  <c r="M110" i="5"/>
  <c r="N111" i="5"/>
  <c r="P111" i="5" s="1"/>
  <c r="M111" i="5"/>
  <c r="M112" i="5"/>
  <c r="N112" i="5"/>
  <c r="P112" i="5" s="1"/>
  <c r="M113" i="5"/>
  <c r="N113" i="5"/>
  <c r="P113" i="5" s="1"/>
  <c r="M114" i="5"/>
  <c r="N114" i="5"/>
  <c r="P114" i="5" s="1"/>
  <c r="M115" i="5"/>
  <c r="N115" i="5"/>
  <c r="P115" i="5" s="1"/>
  <c r="M116" i="5"/>
  <c r="N116" i="5"/>
  <c r="P116" i="5" s="1"/>
  <c r="M117" i="5"/>
  <c r="N117" i="5"/>
  <c r="P117" i="5" s="1"/>
  <c r="M118" i="5"/>
  <c r="N118" i="5"/>
  <c r="P118" i="5" s="1"/>
  <c r="M119" i="5"/>
  <c r="N119" i="5"/>
  <c r="P119" i="5" s="1"/>
  <c r="M120" i="5"/>
  <c r="N120" i="5"/>
  <c r="P120" i="5" s="1"/>
  <c r="M121" i="5"/>
  <c r="N121" i="5"/>
  <c r="P121" i="5" s="1"/>
  <c r="M122" i="5"/>
  <c r="N122" i="5"/>
  <c r="P122" i="5" s="1"/>
  <c r="M123" i="5"/>
  <c r="N123" i="5"/>
  <c r="P123" i="5" s="1"/>
  <c r="M124" i="5"/>
  <c r="N124" i="5"/>
  <c r="M125" i="5"/>
  <c r="N125" i="5"/>
  <c r="P125" i="5" s="1"/>
  <c r="M126" i="5"/>
  <c r="N126" i="5"/>
  <c r="P126" i="5" s="1"/>
  <c r="M127" i="5"/>
  <c r="N127" i="5"/>
  <c r="P127" i="5" s="1"/>
  <c r="M128" i="5"/>
  <c r="N128" i="5"/>
  <c r="P128" i="5" s="1"/>
  <c r="M129" i="5"/>
  <c r="N129" i="5"/>
  <c r="P129" i="5" s="1"/>
  <c r="M130" i="5"/>
  <c r="N130" i="5"/>
  <c r="M131" i="5"/>
  <c r="N131" i="5"/>
  <c r="P131" i="5" s="1"/>
  <c r="M132" i="5"/>
  <c r="N132" i="5"/>
  <c r="P132" i="5" s="1"/>
  <c r="M133" i="5"/>
  <c r="N133" i="5"/>
  <c r="P133" i="5" s="1"/>
  <c r="M134" i="5"/>
  <c r="N134" i="5"/>
  <c r="P134" i="5" s="1"/>
  <c r="M135" i="5"/>
  <c r="N135" i="5"/>
  <c r="P135" i="5" s="1"/>
  <c r="M136" i="5"/>
  <c r="N136" i="5"/>
  <c r="M137" i="5"/>
  <c r="N137" i="5"/>
  <c r="P137" i="5" s="1"/>
  <c r="M138" i="5"/>
  <c r="N138" i="5"/>
  <c r="M139" i="5"/>
  <c r="N139" i="5"/>
  <c r="P139" i="5" s="1"/>
  <c r="M140" i="5"/>
  <c r="N140" i="5"/>
  <c r="M141" i="5"/>
  <c r="N141" i="5"/>
  <c r="P141" i="5" s="1"/>
  <c r="M142" i="5"/>
  <c r="N142" i="5"/>
  <c r="P142" i="5" s="1"/>
  <c r="M143" i="5"/>
  <c r="N143" i="5"/>
  <c r="P143" i="5" s="1"/>
  <c r="M144" i="5"/>
  <c r="N144" i="5"/>
  <c r="P144" i="5" s="1"/>
  <c r="M145" i="5"/>
  <c r="N145" i="5"/>
  <c r="M146" i="5"/>
  <c r="N146" i="5"/>
  <c r="P146" i="5" s="1"/>
  <c r="M147" i="5"/>
  <c r="N147" i="5"/>
  <c r="A4" i="1"/>
  <c r="A3" i="1"/>
  <c r="A2" i="1"/>
  <c r="A6" i="1" l="1"/>
  <c r="A5" i="1"/>
  <c r="K7" i="8"/>
  <c r="H6" i="1" l="1"/>
  <c r="H5" i="1"/>
  <c r="H2" i="1"/>
  <c r="G6" i="1"/>
  <c r="I5" i="1"/>
  <c r="I2" i="1"/>
  <c r="I6" i="1" l="1"/>
  <c r="G5"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<sst xmlns="http://schemas.openxmlformats.org/spreadsheetml/2006/main" count="5554" uniqueCount="225">
  <si>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</si>
  <si>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</si>
  <si>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</si>
  <si>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</si>
  <si>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</si>
  <si>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</si>
  <si>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</si>
  <si>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</si>
  <si>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</si>
  <si>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</si>
  <si>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</si>
  <si>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</si>
  <si>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</si>
  <si>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</si>
  <si>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</si>
  <si>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</si>
  <si>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</si>
  <si>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</si>
  <si>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</si>
  <si>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</si>
  <si>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</si>
  <si>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</si>
  <si>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</si>
  <si>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</si>
  <si>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</si>
  <si>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</si>
  <si>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</si>
  <si>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</si>
  <si>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</si>
  <si>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</si>
  <si>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</si>
  <si>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</si>
  <si>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</si>
  <si>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</si>
  <si>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</si>
  <si>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</si>
  <si>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Objetivo Mystery</t>
  </si>
  <si>
    <t>#PDV Objetivos</t>
  </si>
  <si>
    <t>#PDV Ejecutados</t>
  </si>
  <si>
    <t># Visitas</t>
  </si>
  <si>
    <t>Mystery Ejecutado</t>
  </si>
  <si>
    <t>TRADICIONAL</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</si>
  <si>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</si>
  <si>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</si>
  <si>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</si>
  <si>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</si>
  <si>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</si>
  <si>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</si>
  <si>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</si>
  <si>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</si>
  <si>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</si>
  <si>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</si>
  <si>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</si>
  <si>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</si>
  <si>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</si>
  <si>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</si>
  <si>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</si>
  <si>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</si>
  <si>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</si>
  <si>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</si>
  <si>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</si>
  <si>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</si>
  <si>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</si>
  <si>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</si>
  <si>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</si>
  <si>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</si>
  <si>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</si>
  <si>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</si>
  <si>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</si>
  <si>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</si>
  <si>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</si>
  <si>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</si>
  <si>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</si>
  <si>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</si>
  <si>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</si>
  <si>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</si>
  <si>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</si>
  <si>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</si>
  <si>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</si>
  <si>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</si>
  <si>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</si>
  <si>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</si>
  <si>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</si>
  <si>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COSTA</t>
  </si>
  <si>
    <t>BARRANQUILLA</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</si>
  <si>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</si>
  <si>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</si>
  <si>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</si>
  <si>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</si>
  <si>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</si>
  <si>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</si>
  <si>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</si>
  <si>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</si>
  <si>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</si>
  <si>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</si>
  <si>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</si>
  <si>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</si>
  <si>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</si>
  <si>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</si>
  <si>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PACIFICO</t>
  </si>
  <si>
    <t>CALI</t>
  </si>
  <si>
    <t>MERCA Z</t>
  </si>
  <si>
    <t>SUPERMERCADOS INDEPENDIENTES</t>
  </si>
  <si>
    <t xml:space="preserve">User 5 </t>
  </si>
  <si>
    <t>NestleP.5</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</si>
  <si>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</si>
  <si>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</si>
  <si>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</si>
  <si>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</si>
  <si>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</si>
  <si>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</si>
  <si>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</si>
  <si>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</si>
  <si>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</si>
  <si>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</si>
  <si>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</si>
  <si>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</si>
  <si>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</si>
  <si>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</si>
  <si>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 xml:space="preserve"> NO TIENE DINERO</t>
  </si>
  <si>
    <t>VIDEO 6</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</si>
  <si>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</si>
  <si>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</si>
  <si>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</si>
  <si>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</si>
  <si>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</si>
  <si>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</si>
  <si>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</si>
  <si>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</si>
  <si>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SE PRODUCE ABORDAJE PROACTIVO (antes de 1 min)</t>
  </si>
  <si>
    <t>STO 039 CHIQUINQUIRA</t>
  </si>
  <si>
    <t>OFRECE PURINA ONE: (APLICA SOLO EN CANAL MODERNO, CADENAS, SI EL PRODUCTO ESTA EN EL PDV)</t>
  </si>
  <si>
    <t>MENCIONA QUE LOS RESULTADOS SON VISIBLES EN 28 DIAS?</t>
  </si>
  <si>
    <t>MENCIONA QUE TIENE CARNE DE VERDAD COMO INGREDIENTE NO.1 E INGREDIENTES NATURALES Y FUNCIONALES?</t>
  </si>
  <si>
    <t>MENCIONA QUE PURINA ONE CUENTA CON ALIMENTO HUMEDO Y MENCIONA LAS 3 VARIADADES QUE TIENE ( SUPER FOODS, SUPER NUTRIENTES Y MULTI PROTEINAS); APLICA TANTO PARA PERRO COMO PARA GATO?</t>
  </si>
  <si>
    <t>(OFRECE EL OBSEQUIO APLICA VIERNES, SABADO Y DOMINGO) Y EXPLICA COMO HACER LA TRANSICIÓN  DEL PRODUCTO Y BENEFICIOS?</t>
  </si>
  <si>
    <t>CE - LO PRIMERO QUE OFRECE EL ASESOR ES LA MARCA PRO PLAN? (ENFOQUE EN GATOS)</t>
  </si>
  <si>
    <t>CE - EL ASESOR COMUNICA LOS BENEFICIOS Y CARACTERISTICAS DE LA MARCA PRO PLAN? (ENFOQUE EN GATOS)</t>
  </si>
  <si>
    <t>CE - LUEGO DE REALIZAR LA OBJECIÓN DE PRECIO, OFRECE LA MARCA EXCELLENT? (ENFOQUE EN GATOS)</t>
  </si>
  <si>
    <t>CE - EL ASESOR COMUNICA QUE LA MARCA EXCELLENT ESTA DENTRO DE LA CATEGORIA SUPERPREMIUM PERO A UN COSTO MAS ACCESIBLE.</t>
  </si>
  <si>
    <t>CE - EL ASESOR COMUNICA LOS BENEFICIOS Y CARACTERISTICAS DEL PRODUCTO EXCELLENT? (ENFOQUE EN GATOS)</t>
  </si>
  <si>
    <t>CE - OFRECE PRODUCTO HUMEDO Y ENFATIZA EN LOS PACKS POR TEMAS DE PRECIO? (GATOS Y PERROS)</t>
  </si>
  <si>
    <t>JUMBO</t>
  </si>
  <si>
    <t>JUMBO TITAN</t>
  </si>
  <si>
    <t>ABORDA AL SHOPPER CON EL VERBATIM Y MANEJA LAS OBJECIONES SEGÚN COMUNICADO ENVIADO.</t>
  </si>
  <si>
    <t>MENCIONA LA REDUCCION DE PRECIOS QUE TENEMOS DESDE EL MES DE DICIEMBRE (la unica referencia que no aplica es Gato adult carne 500gr)</t>
  </si>
  <si>
    <t>ABIERTA</t>
  </si>
  <si>
    <t>FALTA DE PRODUCTO</t>
  </si>
  <si>
    <t>421609</t>
  </si>
  <si>
    <t xml:space="preserve"> NO LE INTERESA EL PRODUCTO</t>
  </si>
  <si>
    <t>424858</t>
  </si>
  <si>
    <t>424858 - AGROCAMPO S.A.S.</t>
  </si>
  <si>
    <t>GESTION IMPULSO - FEBRERO 2026</t>
  </si>
  <si>
    <t>12/02/2026 00:00:00</t>
  </si>
  <si>
    <t>12/02/2026 17:22:47</t>
  </si>
  <si>
    <t>12/02/2026 17:31:58</t>
  </si>
  <si>
    <t>30182843</t>
  </si>
  <si>
    <t>66552</t>
  </si>
  <si>
    <t>LA CASA DE LOS TENDEROS</t>
  </si>
  <si>
    <t>13/02/2026 00:00:00</t>
  </si>
  <si>
    <t>13/02/2026 21:05:29</t>
  </si>
  <si>
    <t>13/02/2026 21:09:29</t>
  </si>
  <si>
    <t>30189338</t>
  </si>
  <si>
    <t>ADRIANA PAREDES</t>
  </si>
  <si>
    <t>PREMISEUNP 51</t>
  </si>
  <si>
    <t>JUAN CAMILO FIGUEROA</t>
  </si>
  <si>
    <t>JUAN.FIGUEROA</t>
  </si>
  <si>
    <t>424808</t>
  </si>
  <si>
    <t>424808 - HOLANDA NORTE</t>
  </si>
  <si>
    <t>21/02/2026 00:00:00</t>
  </si>
  <si>
    <t>21/02/2026 15:30:47</t>
  </si>
  <si>
    <t>21/02/2026 15:36:50</t>
  </si>
  <si>
    <t>30231329</t>
  </si>
  <si>
    <t>CARTAGENA</t>
  </si>
  <si>
    <t>424810</t>
  </si>
  <si>
    <t>424810 - HOMECENTER CARTAGENA</t>
  </si>
  <si>
    <t>7703670900542</t>
  </si>
  <si>
    <t>24/02/2026 00:00:00</t>
  </si>
  <si>
    <t>25/02/2026 09:21:29</t>
  </si>
  <si>
    <t>25/02/2026 09:25:41</t>
  </si>
  <si>
    <t>30249632</t>
  </si>
  <si>
    <t>421609 - LA FAVORITA DE LA 14</t>
  </si>
  <si>
    <t>26/02/2026 15:59:17</t>
  </si>
  <si>
    <t>26/02/2026 15:59:22</t>
  </si>
  <si>
    <t>26/02/2026 15:59:35</t>
  </si>
  <si>
    <t>30281524</t>
  </si>
  <si>
    <t>26/02/2026 15:59:40</t>
  </si>
  <si>
    <t>26/02/2026 15:59:43</t>
  </si>
  <si>
    <t>26/02/2026 15:59:51</t>
  </si>
  <si>
    <t>26/02/2026 15:59:55</t>
  </si>
  <si>
    <t>26/02/2026 16:00:05</t>
  </si>
  <si>
    <t>26/02/2026 16:00:08</t>
  </si>
  <si>
    <t>26/02/2026 16:00:30</t>
  </si>
  <si>
    <t>26/02/2026 16:00:56</t>
  </si>
  <si>
    <t>26/02/2026 16:01:09</t>
  </si>
  <si>
    <t>26/02/2026 16:01:15</t>
  </si>
  <si>
    <t>26/02/2026 16:01:19</t>
  </si>
  <si>
    <t>26/02/2026 16:01:22</t>
  </si>
  <si>
    <t>26/02/2026 16:02:30</t>
  </si>
  <si>
    <t>26/02/2026 16:03:00</t>
  </si>
  <si>
    <t>26/02/2026 16:03:20</t>
  </si>
  <si>
    <t>26/02/2026 16:03:31</t>
  </si>
  <si>
    <t>26/02/2026 16:03:42</t>
  </si>
  <si>
    <t>26/02/2026 16:04:12</t>
  </si>
  <si>
    <t>26/02/2026 16:04:27</t>
  </si>
  <si>
    <t>26/02/2026 16:04:34</t>
  </si>
  <si>
    <t>26/02/2026 16:04:39</t>
  </si>
  <si>
    <t>26/02/2026 16:04:44</t>
  </si>
  <si>
    <t>26/02/2026 16:04:51</t>
  </si>
  <si>
    <t>26/02/2026 16:04:57</t>
  </si>
  <si>
    <t>26/02/2026 16:05:28</t>
  </si>
  <si>
    <t>26/02/2026 16:05:35</t>
  </si>
  <si>
    <t>26/02/2026 16:05:57</t>
  </si>
  <si>
    <t>26/02/2026 16:07:28</t>
  </si>
  <si>
    <t>26/02/2026 16:07:32</t>
  </si>
  <si>
    <t>26/02/2026 16:07:36</t>
  </si>
  <si>
    <t>26/02/2026 16:07:38</t>
  </si>
  <si>
    <t>26/02/2026 16:07:43</t>
  </si>
  <si>
    <t>26/02/2026 16:07:59</t>
  </si>
  <si>
    <t>INFORME MYSTERY      FEBRERO</t>
  </si>
  <si>
    <t>https://drive.google.com/file/d/1xTD_FOrp9xtvriAa06FlOXCv68XCzmiX/view</t>
  </si>
  <si>
    <t>https://drive.google.com/file/d/1XwWPqfXlZvb88B3cSTKLog57F9yO7lr7/view</t>
  </si>
  <si>
    <t>https://drive.google.com/file/d/1d05UXeDeoqZnEk22-rnJUqOPPo2LWPzt/view</t>
  </si>
  <si>
    <t>https://drive.google.com/file/d/1X-s8H1oACzvA35fty4K9UX9b91Xfq0SH/view</t>
  </si>
  <si>
    <t>https://drive.google.com/file/d/1abCvezGqCU1ZmOXb2u7xi19jBsQPGJxb/view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</si>
</sst>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19">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0"/>
        <bgColor indexed="64"/>
      </patternFill>
    </fill>
    <fill>
      <patternFill patternType="solid">
        <fgColor rgb="FFEE0000"/>
        <bgColor indexed="64"/>
      </patternFill>
    </fill>
    <fill>
      <patternFill patternType="solid">
        <fgColor theme="0" tint="-4.9989318521683403E-2"/>
        <bgColor theme="5" tint="0.79998168889431442"/>
      </patternFill>
    </fill>
    <fill>
      <patternFill patternType="solid">
        <fgColor theme="5" tint="0.79998168889431442"/>
        <bgColor theme="6"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theme="8"/>
      </top>
      <bottom/>
      <diagonal/>
    </border>
    <border>
      <left style="thin">
        <color indexed="64"/>
      </left>
      <right style="thin">
        <color indexed="64"/>
      </right>
      <top/>
      <bottom/>
      <diagonal/>
    </border>
    <border>
      <left/>
      <right/>
      <top style="thin">
        <color theme="7"/>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83">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1"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0" fontId="0" fillId="15" borderId="5" xfId="0" applyFill="1" applyBorder="1" applyAlignment="1">
      <alignment horizontal="center" vertical="center"/>
    </xf>
    <xf numFmtId="0" fontId="14" fillId="0" borderId="1" xfId="3" applyBorder="1" applyAlignment="1"/>
    <xf numFmtId="0" fontId="16" fillId="0" borderId="0" xfId="1" applyFont="1" applyAlignment="1">
      <alignment horizontal="center" vertical="center" wrapText="1"/>
    </xf>
    <xf numFmtId="0" fontId="16" fillId="0" borderId="0" xfId="0" applyFont="1" applyAlignment="1">
      <alignment horizontal="center" vertical="center" wrapText="1"/>
    </xf>
    <xf numFmtId="0" fontId="15"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6" fillId="0" borderId="1" xfId="1" applyFont="1" applyBorder="1" applyAlignment="1">
      <alignment horizontal="center" vertical="center" wrapText="1"/>
    </xf>
    <xf numFmtId="0" fontId="16" fillId="0" borderId="1" xfId="0" applyFont="1" applyBorder="1" applyAlignment="1">
      <alignment horizontal="center" vertical="center" wrapText="1"/>
    </xf>
    <xf numFmtId="0" fontId="15" fillId="0" borderId="1" xfId="1" applyFont="1" applyBorder="1" applyAlignment="1">
      <alignment horizontal="center" vertical="center" wrapText="1"/>
    </xf>
    <xf numFmtId="9" fontId="0" fillId="0" borderId="1" xfId="2" applyFont="1" applyBorder="1" applyAlignment="1">
      <alignment horizontal="center"/>
    </xf>
    <xf numFmtId="0" fontId="17" fillId="0" borderId="0" xfId="1" applyFont="1" applyAlignment="1">
      <alignment horizontal="center" vertical="center" wrapText="1"/>
    </xf>
    <xf numFmtId="0" fontId="4" fillId="0" borderId="0" xfId="0" applyFont="1" applyAlignment="1">
      <alignment horizontal="left" vertical="center" wrapText="1"/>
    </xf>
    <xf numFmtId="0" fontId="0" fillId="16" borderId="0" xfId="0" applyFill="1"/>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6" xfId="0" applyFont="1" applyFill="1" applyBorder="1" applyAlignment="1">
      <alignment horizontal="center" vertical="center"/>
    </xf>
    <xf numFmtId="9" fontId="9" fillId="17" borderId="0" xfId="0" applyNumberFormat="1" applyFont="1" applyFill="1" applyAlignment="1">
      <alignment horizontal="center" vertical="center"/>
    </xf>
    <xf numFmtId="0" fontId="17" fillId="0" borderId="1" xfId="1" applyFont="1" applyBorder="1" applyAlignment="1">
      <alignment horizontal="center" vertical="center" wrapText="1"/>
    </xf>
    <xf numFmtId="0" fontId="13" fillId="0" borderId="0" xfId="1" applyFont="1" applyAlignment="1">
      <alignment horizontal="center" vertical="center" wrapText="1"/>
    </xf>
    <xf numFmtId="9" fontId="9" fillId="18" borderId="0" xfId="0" applyNumberFormat="1" applyFont="1" applyFill="1" applyAlignment="1">
      <alignment horizontal="center" vertical="center"/>
    </xf>
    <xf numFmtId="22" fontId="0" fillId="0" borderId="0" xfId="0" applyNumberFormat="1"/>
    <xf numFmtId="14" fontId="0" fillId="0" borderId="7" xfId="0" applyNumberFormat="1" applyBorder="1"/>
    <xf numFmtId="0" fontId="9" fillId="6" borderId="0" xfId="0" applyFont="1" applyFill="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529">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27" formatCode="d/mm/yyyy\ h:mm"/>
      <fill>
        <patternFill patternType="none">
          <fgColor indexed="64"/>
          <bgColor indexed="65"/>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fill>
        <patternFill>
          <bgColor theme="5" tint="0.79998168889431442"/>
        </patternFill>
      </fill>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528"/>
      <tableStyleElement type="totalRow" dxfId="527"/>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Febrero 2026.xlsx]INFORME!TablaDinámica11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INFORME!$E$18:$E$23</c:f>
              <c:numCache>
                <c:formatCode>0%</c:formatCode>
                <c:ptCount val="5"/>
                <c:pt idx="0">
                  <c:v>1</c:v>
                </c:pt>
                <c:pt idx="1">
                  <c:v>1</c:v>
                </c:pt>
                <c:pt idx="2">
                  <c:v>1</c:v>
                </c:pt>
                <c:pt idx="3">
                  <c:v>1</c:v>
                </c:pt>
                <c:pt idx="4">
                  <c:v>0.95</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INFORME!$F$18:$F$23</c:f>
              <c:numCache>
                <c:formatCode>0%</c:formatCode>
                <c:ptCount val="5"/>
                <c:pt idx="0">
                  <c:v>1</c:v>
                </c:pt>
                <c:pt idx="1">
                  <c:v>1</c:v>
                </c:pt>
                <c:pt idx="2">
                  <c:v>1</c:v>
                </c:pt>
                <c:pt idx="3">
                  <c:v>1</c:v>
                </c:pt>
                <c:pt idx="4">
                  <c:v>0.96666666666666667</c:v>
                </c:pt>
              </c:numCache>
            </c:numRef>
          </c:val>
          <c:extLst>
            <c:ext xmlns:c16="http://schemas.microsoft.com/office/drawing/2014/chart" uri="{C3380CC4-5D6E-409C-BE32-E72D297353CC}">
              <c16:uniqueId val="{00000001-3B03-4E9A-8F5E-1F553D511F1D}"/>
            </c:ext>
          </c:extLst>
        </c:ser>
        <c:ser>
          <c:idx val="2"/>
          <c:order val="2"/>
          <c:tx>
            <c:strRef>
              <c:f>INFORME!$G$16:$G$17</c:f>
              <c:strCache>
                <c:ptCount val="1"/>
                <c:pt idx="0">
                  <c:v>TRADICIONAL</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LABOR DE VENTA</c:v>
                </c:pt>
                <c:pt idx="1">
                  <c:v>HORARIO</c:v>
                </c:pt>
                <c:pt idx="2">
                  <c:v>UNIFORME</c:v>
                </c:pt>
                <c:pt idx="3">
                  <c:v>ABORDAJE</c:v>
                </c:pt>
                <c:pt idx="4">
                  <c:v>PORTAFOLIO Y MANEJO DE OBJECIONES</c:v>
                </c:pt>
              </c:strCache>
            </c:strRef>
          </c:cat>
          <c:val>
            <c:numRef>
              <c:f>INFORME!$G$18:$G$23</c:f>
              <c:numCache>
                <c:formatCode>0%</c:formatCode>
                <c:ptCount val="5"/>
                <c:pt idx="0">
                  <c:v>1</c:v>
                </c:pt>
                <c:pt idx="1">
                  <c:v>1</c:v>
                </c:pt>
                <c:pt idx="2">
                  <c:v>1</c:v>
                </c:pt>
                <c:pt idx="3">
                  <c:v>1</c:v>
                </c:pt>
                <c:pt idx="4">
                  <c:v>0.8</c:v>
                </c:pt>
              </c:numCache>
            </c:numRef>
          </c:val>
          <c:extLst>
            <c:ext xmlns:c16="http://schemas.microsoft.com/office/drawing/2014/chart" uri="{C3380CC4-5D6E-409C-BE32-E72D297353CC}">
              <c16:uniqueId val="{00000002-3B03-4E9A-8F5E-1F553D511F1D}"/>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Febrero 2026.xlsx]INFORME!TablaDinámica12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INFORME!$E$32:$E$37</c:f>
              <c:numCache>
                <c:formatCode>0%</c:formatCode>
                <c:ptCount val="5"/>
                <c:pt idx="0">
                  <c:v>1</c:v>
                </c:pt>
                <c:pt idx="1">
                  <c:v>1</c:v>
                </c:pt>
                <c:pt idx="2">
                  <c:v>1</c:v>
                </c:pt>
                <c:pt idx="3">
                  <c:v>1</c:v>
                </c:pt>
                <c:pt idx="4">
                  <c:v>0.9</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CALI</c:v>
                </c:pt>
              </c:strCache>
            </c:strRef>
          </c:tx>
          <c:spPr>
            <a:solidFill>
              <a:schemeClr val="accent2"/>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INFORME!$F$32:$F$37</c:f>
              <c:numCache>
                <c:formatCode>0%</c:formatCode>
                <c:ptCount val="5"/>
                <c:pt idx="0">
                  <c:v>1</c:v>
                </c:pt>
                <c:pt idx="1">
                  <c:v>1</c:v>
                </c:pt>
                <c:pt idx="2">
                  <c:v>1</c:v>
                </c:pt>
                <c:pt idx="3">
                  <c:v>1</c:v>
                </c:pt>
                <c:pt idx="4">
                  <c:v>0.9</c:v>
                </c:pt>
              </c:numCache>
            </c:numRef>
          </c:val>
          <c:extLst>
            <c:ext xmlns:c16="http://schemas.microsoft.com/office/drawing/2014/chart" uri="{C3380CC4-5D6E-409C-BE32-E72D297353CC}">
              <c16:uniqueId val="{00000000-763D-48BB-B2F9-6F44EE13C702}"/>
            </c:ext>
          </c:extLst>
        </c:ser>
        <c:ser>
          <c:idx val="2"/>
          <c:order val="2"/>
          <c:tx>
            <c:strRef>
              <c:f>INFORME!$G$30:$G$31</c:f>
              <c:strCache>
                <c:ptCount val="1"/>
                <c:pt idx="0">
                  <c:v>CARTAGENA</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INFORME!$G$32:$G$37</c:f>
              <c:numCache>
                <c:formatCode>0%</c:formatCode>
                <c:ptCount val="5"/>
                <c:pt idx="0">
                  <c:v>1</c:v>
                </c:pt>
                <c:pt idx="1">
                  <c:v>1</c:v>
                </c:pt>
                <c:pt idx="2">
                  <c:v>1</c:v>
                </c:pt>
                <c:pt idx="3">
                  <c:v>1</c:v>
                </c:pt>
                <c:pt idx="4">
                  <c:v>0.95</c:v>
                </c:pt>
              </c:numCache>
            </c:numRef>
          </c:val>
          <c:extLst>
            <c:ext xmlns:c16="http://schemas.microsoft.com/office/drawing/2014/chart" uri="{C3380CC4-5D6E-409C-BE32-E72D297353CC}">
              <c16:uniqueId val="{00000001-763D-48BB-B2F9-6F44EE13C702}"/>
            </c:ext>
          </c:extLst>
        </c:ser>
        <c:ser>
          <c:idx val="3"/>
          <c:order val="3"/>
          <c:tx>
            <c:strRef>
              <c:f>INFORME!$H$30:$H$31</c:f>
              <c:strCache>
                <c:ptCount val="1"/>
                <c:pt idx="0">
                  <c:v>BARRANQUILLA</c:v>
                </c:pt>
              </c:strCache>
            </c:strRef>
          </c:tx>
          <c:spPr>
            <a:solidFill>
              <a:schemeClr val="accent4"/>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LABOR DE VENTA</c:v>
                </c:pt>
                <c:pt idx="1">
                  <c:v>HORARIO</c:v>
                </c:pt>
                <c:pt idx="2">
                  <c:v>UNIFORME</c:v>
                </c:pt>
                <c:pt idx="3">
                  <c:v>ABORDAJE</c:v>
                </c:pt>
                <c:pt idx="4">
                  <c:v>PORTAFOLIO Y MANEJO DE OBJECIONES</c:v>
                </c:pt>
              </c:strCache>
            </c:strRef>
          </c:cat>
          <c:val>
            <c:numRef>
              <c:f>INFORME!$H$32:$H$37</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2-763D-48BB-B2F9-6F44EE13C702}"/>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119062</xdr:colOff>
      <xdr:row>6</xdr:row>
      <xdr:rowOff>130967</xdr:rowOff>
    </xdr:from>
    <xdr:to>
      <xdr:col>0</xdr:col>
      <xdr:colOff>2428874</xdr:colOff>
      <xdr:row>18</xdr:row>
      <xdr:rowOff>35719</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19062" y="1452561"/>
              <a:ext cx="2309812" cy="207168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107157</xdr:colOff>
      <xdr:row>18</xdr:row>
      <xdr:rowOff>114900</xdr:rowOff>
    </xdr:from>
    <xdr:to>
      <xdr:col>0</xdr:col>
      <xdr:colOff>2416969</xdr:colOff>
      <xdr:row>28</xdr:row>
      <xdr:rowOff>230189</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07157" y="3603430"/>
              <a:ext cx="2309812" cy="382606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084.609390162041" createdVersion="8" refreshedVersion="8" minRefreshableVersion="3" recordCount="5" xr:uid="{CF551015-06BD-4229-9B56-77016B602580}">
  <cacheSource type="worksheet">
    <worksheetSource name="Tabla1"/>
  </cacheSource>
  <cacheFields count="11">
    <cacheField name="CANAL" numFmtId="0">
      <sharedItems/>
    </cacheField>
    <cacheField name="CIUDAD" numFmtId="0">
      <sharedItems containsBlank="1" count="16">
        <s v="BARRANQUILLA"/>
        <s v="BOGOTA"/>
        <s v="CALI"/>
        <s v="CARTAGENA"/>
        <s v="ARMENIA" u="1"/>
        <s v="MEDELLIN" u="1"/>
        <s v="ENVIGADO" u="1"/>
        <m u="1"/>
        <s v="ARMENIA (QUINDIO)" u="1"/>
        <s v="CHIA" u="1"/>
        <s v="BUCARAMANGA" u="1"/>
        <s v="ITAGUI" u="1"/>
        <s v="PALMIRA" u="1"/>
        <s v="PEREIRA" u="1"/>
        <s v="BELLO" u="1"/>
        <s v="SOACHA" u="1"/>
      </sharedItems>
    </cacheField>
    <cacheField name="CODIGO PDV" numFmtId="0">
      <sharedItems containsSemiMixedTypes="0" containsString="0" containsNumber="1" containsInteger="1" minValue="66552" maxValue="424858"/>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1"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087.457670717595" createdVersion="8" refreshedVersion="8" minRefreshableVersion="3" recordCount="146" xr:uid="{FB106F23-78AF-4657-98AE-84D2CE3B6430}">
  <cacheSource type="worksheet">
    <worksheetSource name="Tabla2__2"/>
  </cacheSource>
  <cacheFields count="19">
    <cacheField name="ACTIVIDAD" numFmtId="0">
      <sharedItems/>
    </cacheField>
    <cacheField name="CIUDAD" numFmtId="0">
      <sharedItems containsBlank="1" count="13">
        <s v="BOGOTA"/>
        <s v="CARTAGENA"/>
        <s v="CALI"/>
        <s v="BARRANQUILLA"/>
        <s v="MEDELLIN" u="1"/>
        <s v="ARMENIA" u="1"/>
        <s v="ENVIGADO" u="1"/>
        <s v="LOS PATIOS" u="1"/>
        <s v="CHIA" u="1"/>
        <s v="ARMENIA (QUINDIO)" u="1"/>
        <s v="BUCARAMANGA" u="1"/>
        <m u="1"/>
        <s v="ITAGUI" u="1"/>
      </sharedItems>
    </cacheField>
    <cacheField name="CANAL" numFmtId="0">
      <sharedItems containsMixedTypes="1" containsNumber="1" containsInteger="1" minValue="0" maxValue="0" count="4">
        <s v="ESPECIALIZADO"/>
        <s v="MODERNO"/>
        <s v="TRADICIONAL"/>
        <n v="0" u="1"/>
      </sharedItems>
    </cacheField>
    <cacheField name="CADENA" numFmtId="0">
      <sharedItems/>
    </cacheField>
    <cacheField name="CODIGO PDV" numFmtId="0">
      <sharedItems containsSemiMixedTypes="0" containsString="0" containsNumber="1" containsInteger="1" minValue="66552" maxValue="424858"/>
    </cacheField>
    <cacheField name="NOMBRE COMERCIAL" numFmtId="0">
      <sharedItems containsBlank="1" count="167">
        <s v="424858 - AGROCAMPO S.A.S."/>
        <s v="424810 - HOMECENTER CARTAGENA"/>
        <s v="424808 - HOLANDA NORTE"/>
        <s v="421609 - LA FAVORITA DE LA 14"/>
        <s v="LA CASA DE LOS TENDEROS"/>
        <s v="DEGANADO NORTE" u="1"/>
        <s v="12465 - ÉXITO NUEVO KENNEDY" u="1"/>
        <s v="180616 -PUPPIS SANTA BARBARA" u="1"/>
        <s v="424822 - CHALO 4" u="1"/>
        <s v="442719-EXITO COLINA" u="1"/>
        <s v="191636-ALMACEN EL VAQUERO" u="1"/>
        <s v="12882 - ÉXITO UNICALI 056" u="1"/>
        <s v="424880-AUTOSERVICIO MERCAUNION" u="1"/>
        <s v="352093- JUMBO PREMIER LIMONAR" u="1"/>
        <s v="421609-LA FAVORITA DE LA 14" u="1"/>
        <s v="12127 - ÉXITO POBLADO WOW" u="1"/>
        <s v="453160-DIVERPOOL MULTIPLAZA" u="1"/>
        <s v="12128-ÉXITO VIVA ENVIGADO WOW" u="1"/>
        <s v="38479 - JUMBO 65" u="1"/>
        <s v="191457-ALMACEN MI CORRAL 84" u="1"/>
        <s v="MUNDIAL DE GRANOS Y PANELAS S.A.S." u="1"/>
        <s v="12561-JUMBO HAYUELOS" u="1"/>
        <s v="425908-PUPPIS MODELIA" u="1"/>
        <s v="208335-MERKAMAS LEMETRE" u="1"/>
        <s v="124499-AUTOSERVICIO MERCAFULL" u="1"/>
        <s v="426054-ROYAL PET" u="1"/>
        <s v="406431-JUMBO VALLE DEL LILI" u="1"/>
        <s v="EXITO COUNTRY" u="1"/>
        <s v="406974-JUMBO 170" u="1"/>
        <s v="442180-CLÍNICA VETERINARIA ENVALLE S.A.S." u="1"/>
        <s v="55306-SUPAPA REFUGIO" u="1"/>
        <s v="CONCENTRADOS EL RANCHO LTDA DROGUERIA VETERINARIA" u="1"/>
        <s v="356625-AGRO LA HACIENDA SAS SUR" u="1"/>
        <s v="437044-SURTIFAMILIAR CACHIPAY" u="1"/>
        <s v="421577-DEGANADO ALAMEDA" u="1"/>
        <s v="421657-MI CORRAL NORTE CRA 46" u="1"/>
        <s v="461809-DISTRIBUIDORA EL 9CITO S.A.S." u="1"/>
        <s v="AGROCAMPO S.A.S." u="1"/>
        <s v="HOMECENTER CALLE 80 CR 68" u="1"/>
        <s v="146097-SURTIFAMILIAR ALCAZARES" u="1"/>
        <s v="OLIMPICA STO 053 PORTAL DEL PRADO" u="1"/>
        <s v="419603-MERCATODO FLORESTA" u="1"/>
        <s v="425901-DIDO S.A.S 121" u="1"/>
        <s v="SUPERMERCADO MERCAMIO" u="1"/>
        <s v="430454-OLIMPICA STO 082 BQUILLA" u="1"/>
        <s v="363615-LA MONTAÑA AGROMERCADOS LA 14 DE COSMOCENTRO 129" u="1"/>
        <s v="424843-I PET PLACE C.C NUESTRO BOGOTA" u="1"/>
        <s v="55309-EXITO SUPER INTER MELENDEZ" u="1"/>
        <s v="556332-MERKAVALLE JG SAS" u="1"/>
        <s v="12829-OLIMPICA 409 AV 19" u="1"/>
        <s v="128552-CAÑAVERAL EL INGENIO" u="1"/>
        <s v="424844-ANIMAL CENTER BELLA SUIZA" u="1"/>
        <s v="425879-AGROPUNTO SAN JOSE" u="1"/>
        <s v="12056-JUMBO BUENAVISTA" u="1"/>
        <s v="424771-SILVERAGRO 109" u="1"/>
        <s v="355954-MUNDO MASCOTAS FERIAS" u="1"/>
        <s v="435149-SUPERMASCOTAS CAPRI" u="1"/>
        <s v="456604-EXITO SUPER INTER GUAYACANES" u="1"/>
        <s v="430443-STO 428 MAZUREN" u="1"/>
        <s v="191583-MUNDO ANIMAL BARRANQUILLA" u="1"/>
        <s v="455609-HOMECENTER BARRANQUILLA NORTE" u="1"/>
        <s v="OLIMPICA 405 PLAZA DE LAS AMERICAS" u="1"/>
        <s v="448006-ÉXITO NORTE BARRANQUILLA" u="1"/>
        <s v="382375-PORVENIR SAN ISIDRO" u="1"/>
        <s v="150256-ANIMALS PEPE SIERRA" u="1"/>
        <s v="424809-HOMECENTER AV. EL DORADO" u="1"/>
        <s v="108904- LA RES DEL NORTE" u="1"/>
        <s v="365377-Su Papa Lopez" u="1"/>
        <s v="DISTRIBUCIONES MILENA" u="1"/>
        <s v="447964-MAKRO BARRANQUILLA" u="1"/>
        <s v="MUNDO MASCOTAS TABORA" u="1"/>
        <s v="CLINICA VETERINARIA SHARPEY" u="1"/>
        <s v="126325-OLIMPICA STO 039 CHIQUINQUIRA"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MERCAMIO CALLE 5" u="1"/>
        <s v="ZAPATOCA VILLA LUZ" u="1"/>
        <s v="434812-AUTOSERVICIO IDMT" u="1"/>
        <s v="103470612-MERCALDAS-BOGOTA"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cacheField>
    <cacheField name="FECHA VISITA" numFmtId="14">
      <sharedItems containsNonDate="0" containsString="0" containsBlank="1"/>
    </cacheField>
    <cacheField name="CODIGO RUTA" numFmtId="0">
      <sharedItems containsSemiMixedTypes="0" containsString="0" containsNumber="1" containsInteger="1" minValue="30182843" maxValue="30281524"/>
    </cacheField>
    <cacheField name="USUARIO" numFmtId="0">
      <sharedItems/>
    </cacheField>
    <cacheField name="MYSTERY EFECTIVO" numFmtId="0">
      <sharedItems containsMixedTypes="1" containsNumber="1" containsInteger="1" minValue="0" maxValue="0" count="2">
        <s v="SI"/>
        <n v="0" u="1"/>
      </sharedItems>
    </cacheField>
    <cacheField name="CLUSTER" numFmtId="0">
      <sharedItems containsMixedTypes="1" containsNumber="1" containsInteger="1" minValue="0" maxValue="0" count="7">
        <s v="N/A"/>
        <s v="ABORDAJE"/>
        <s v="PORTAFOLIO Y MANEJO DE OBJECIONES"/>
        <s v="UNIFORME"/>
        <s v="LABOR DE VENTA"/>
        <s v="HORARIO"/>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MODERNO"/>
    <x v="0"/>
    <n v="421609"/>
    <s v="421609 - LA FAVORITA DE LA 14"/>
    <n v="1"/>
    <n v="1"/>
    <n v="1"/>
    <n v="1"/>
    <n v="1"/>
  </r>
  <r>
    <s v="ESPECIALIZADO"/>
    <x v="1"/>
    <n v="424858"/>
    <s v="424858 - AGROCAMPO S.A.S."/>
    <n v="1"/>
    <n v="1"/>
    <n v="1"/>
    <n v="1"/>
    <n v="1"/>
  </r>
  <r>
    <s v="MODERNO"/>
    <x v="2"/>
    <n v="66552"/>
    <s v="LA CASA DE LOS TENDEROS"/>
    <n v="1"/>
    <n v="1"/>
    <n v="1"/>
    <n v="1"/>
    <n v="1"/>
  </r>
  <r>
    <s v="INDEPENDIENTES"/>
    <x v="2"/>
    <n v="424808"/>
    <s v="424808 - HOLANDA NORTE"/>
    <n v="1"/>
    <n v="1"/>
    <n v="1"/>
    <n v="1"/>
    <n v="1"/>
  </r>
  <r>
    <s v="OLIMPICA"/>
    <x v="3"/>
    <n v="424810"/>
    <s v="424810 - HOMECENTER CARTAGENA"/>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6">
  <r>
    <s v="NESTLE PURINA"/>
    <x v="0"/>
    <x v="0"/>
    <s v="JUMBO"/>
    <n v="424858"/>
    <x v="0"/>
    <s v="SE LOGRA REALIZAR EL MYSTERY?"/>
    <s v="SI"/>
    <m/>
    <n v="30182843"/>
    <s v="NestleP.1"/>
    <x v="0"/>
    <x v="0"/>
    <n v="0"/>
    <n v="0"/>
    <n v="0"/>
    <n v="0"/>
    <m/>
  </r>
  <r>
    <s v="NESTLE PURINA"/>
    <x v="1"/>
    <x v="1"/>
    <s v="OLIMPICA"/>
    <n v="424810"/>
    <x v="1"/>
    <s v="SE PRODUCE ABORDAJE PROACTIVO (antes de 1 min)"/>
    <s v="SI"/>
    <m/>
    <n v="30249632"/>
    <s v="NestleP.5"/>
    <x v="0"/>
    <x v="1"/>
    <n v="20"/>
    <s v="SI"/>
    <n v="20"/>
    <n v="0"/>
    <m/>
  </r>
  <r>
    <s v="NESTLE PURINA"/>
    <x v="1"/>
    <x v="1"/>
    <s v="OLIMPICA"/>
    <n v="424810"/>
    <x v="1"/>
    <s v="INDAGA SOBRE LAS NECESIDADES DEL CLIENTE CON RESPECTO A SU CONSUMO HABITUAL &quot; MARCAS COMPETENCIA O PROPIAS&quot; - OBJECIÓN DE PRECIOS."/>
    <s v="SI"/>
    <m/>
    <n v="30249632"/>
    <s v="NestleP.5"/>
    <x v="0"/>
    <x v="2"/>
    <n v="1.5"/>
    <s v="SI"/>
    <n v="1.5"/>
    <n v="0"/>
    <m/>
  </r>
  <r>
    <s v="NESTLE PURINA"/>
    <x v="1"/>
    <x v="1"/>
    <s v="OLIMPICA"/>
    <n v="424810"/>
    <x v="1"/>
    <s v="OFRECE PURINA ONE: (APLICA SOLO EN CANAL MODERNO, CADENAS, SI EL PRODUCTO ESTA EN EL PDV)"/>
    <s v="NO"/>
    <m/>
    <n v="30249632"/>
    <s v="NestleP.5"/>
    <x v="0"/>
    <x v="2"/>
    <n v="1.5"/>
    <s v="SI"/>
    <n v="0"/>
    <n v="0"/>
    <m/>
  </r>
  <r>
    <s v="NESTLE PURINA"/>
    <x v="1"/>
    <x v="1"/>
    <s v="OLIMPICA"/>
    <n v="424810"/>
    <x v="1"/>
    <s v="MENCIONA QUE LOS RESULTADOS SON VISIBLES EN 28 DIAS?"/>
    <s v="SI"/>
    <m/>
    <n v="30249632"/>
    <s v="NestleP.5"/>
    <x v="0"/>
    <x v="2"/>
    <n v="1.5"/>
    <s v="SI"/>
    <n v="1.5"/>
    <n v="0"/>
    <m/>
  </r>
  <r>
    <s v="NESTLE PURINA"/>
    <x v="1"/>
    <x v="1"/>
    <s v="OLIMPICA"/>
    <n v="424810"/>
    <x v="1"/>
    <s v="MENCIONA QUE TIENE CARNE DE VERDAD COMO INGREDIENTE NO.1 E INGREDIENTES NATURALES Y FUNCIONALES?"/>
    <s v="SI"/>
    <m/>
    <n v="30249632"/>
    <s v="NestleP.5"/>
    <x v="0"/>
    <x v="2"/>
    <n v="1.5"/>
    <s v="SI"/>
    <n v="1.5"/>
    <n v="0"/>
    <m/>
  </r>
  <r>
    <s v="NESTLE PURINA"/>
    <x v="1"/>
    <x v="1"/>
    <s v="OLIMPICA"/>
    <n v="424810"/>
    <x v="1"/>
    <s v="MENCIONA QUE PURINA ONE CUENTA CON ALIMENTO HUMEDO Y MENCIONA LAS 3 VARIADADES QUE TIENE ( SUPER FOODS, SUPER NUTRIENTES Y MULTI PROTEINAS); APLICA TANTO PARA PERRO COMO PARA GATO?"/>
    <s v="SI"/>
    <m/>
    <n v="30249632"/>
    <s v="NestleP.5"/>
    <x v="0"/>
    <x v="2"/>
    <n v="1.5"/>
    <s v="SI"/>
    <n v="1.5"/>
    <n v="0"/>
    <m/>
  </r>
  <r>
    <s v="NESTLE PURINA"/>
    <x v="1"/>
    <x v="1"/>
    <s v="OLIMPICA"/>
    <n v="424810"/>
    <x v="1"/>
    <s v="USA ACCESORIOS QUE NO CUMPLE CON EL CODIGO DE VESTIMENTA"/>
    <s v="NO"/>
    <m/>
    <n v="30249632"/>
    <s v="NestleP.5"/>
    <x v="0"/>
    <x v="3"/>
    <n v="1.5"/>
    <s v="NO"/>
    <n v="1.5"/>
    <n v="0"/>
    <m/>
  </r>
  <r>
    <s v="NESTLE PURINA"/>
    <x v="1"/>
    <x v="1"/>
    <s v="OLIMPICA"/>
    <n v="424810"/>
    <x v="1"/>
    <s v="ABORDA AL SHOPPER CON EL VERBATIM Y MANEJA LAS OBJECIONES SEGÚN COMUNICADO ENVIADO."/>
    <s v="SI"/>
    <m/>
    <n v="30249632"/>
    <s v="NestleP.5"/>
    <x v="0"/>
    <x v="2"/>
    <n v="1.5"/>
    <s v="SI"/>
    <n v="1.5"/>
    <n v="0"/>
    <m/>
  </r>
  <r>
    <s v="NESTLE PURINA"/>
    <x v="1"/>
    <x v="1"/>
    <s v="OLIMPICA"/>
    <n v="424810"/>
    <x v="1"/>
    <s v="(OFRECE EL OBSEQUIO APLICA VIERNES, SABADO Y DOMINGO) Y EXPLICA COMO HACER LA TRANSICIÓN  DEL PRODUCTO Y BENEFICIOS?"/>
    <s v="SI"/>
    <m/>
    <n v="30249632"/>
    <s v="NestleP.5"/>
    <x v="0"/>
    <x v="2"/>
    <n v="1.5"/>
    <s v="SI"/>
    <n v="1.5"/>
    <n v="0"/>
    <m/>
  </r>
  <r>
    <s v="NESTLE PURINA"/>
    <x v="1"/>
    <x v="1"/>
    <s v="OLIMPICA"/>
    <n v="424810"/>
    <x v="1"/>
    <s v="SELECCIONE EL CANAL DEL PDV QUE EVALUA"/>
    <s v="MODERNO"/>
    <m/>
    <n v="30249632"/>
    <s v="NestleP.5"/>
    <x v="0"/>
    <x v="0"/>
    <n v="0"/>
    <n v="0"/>
    <n v="0"/>
    <n v="0"/>
    <m/>
  </r>
  <r>
    <s v="NESTLE PURINA"/>
    <x v="1"/>
    <x v="1"/>
    <s v="OLIMPICA"/>
    <n v="424810"/>
    <x v="1"/>
    <s v="CM - OFRECE DOG CHOW O CAT CHOW COMO PRIMERA OPCION"/>
    <s v="SI"/>
    <m/>
    <n v="30249632"/>
    <s v="NestleP.5"/>
    <x v="0"/>
    <x v="2"/>
    <n v="6"/>
    <s v="SI"/>
    <n v="6"/>
    <n v="0"/>
    <m/>
  </r>
  <r>
    <s v="NESTLE PURINA"/>
    <x v="1"/>
    <x v="1"/>
    <s v="OLIMPICA"/>
    <n v="424810"/>
    <x v="1"/>
    <s v="CM - OFRECE ALIMENTO HUMEDO DE DOG CHOW Y FELIX"/>
    <s v="SI"/>
    <m/>
    <n v="30249632"/>
    <s v="NestleP.5"/>
    <x v="0"/>
    <x v="2"/>
    <n v="6"/>
    <s v="SI"/>
    <n v="6"/>
    <n v="0"/>
    <m/>
  </r>
  <r>
    <s v="NESTLE PURINA"/>
    <x v="1"/>
    <x v="1"/>
    <s v="OLIMPICA"/>
    <n v="424810"/>
    <x v="1"/>
    <s v="CM - CONOCE LAS DINAMICAS COMERCIALES DEL PDV"/>
    <s v="SI"/>
    <m/>
    <n v="30249632"/>
    <s v="NestleP.5"/>
    <x v="0"/>
    <x v="2"/>
    <n v="6"/>
    <s v="SI"/>
    <n v="6"/>
    <n v="0"/>
    <m/>
  </r>
  <r>
    <s v="NESTLE PURINA"/>
    <x v="1"/>
    <x v="1"/>
    <s v="OLIMPICA"/>
    <n v="424810"/>
    <x v="1"/>
    <s v="INDIQUE QUE TIPO DE OBJECION / DUDA MANIFESTÓ"/>
    <s v="FALTA DE PRODUCTO"/>
    <m/>
    <n v="30249632"/>
    <s v="NestleP.5"/>
    <x v="0"/>
    <x v="0"/>
    <n v="0"/>
    <n v="0"/>
    <n v="0"/>
    <n v="0"/>
    <m/>
  </r>
  <r>
    <s v="NESTLE PURINA"/>
    <x v="1"/>
    <x v="1"/>
    <s v="OLIMPICA"/>
    <n v="424810"/>
    <x v="1"/>
    <s v="MENCIONA LA REDUCCION DE PRECIOS QUE TENEMOS DESDE EL MES DE DICIEMBRE (la unica referencia que no aplica es Gato adult carne 500gr)"/>
    <s v="SI"/>
    <m/>
    <n v="30249632"/>
    <s v="NestleP.5"/>
    <x v="0"/>
    <x v="2"/>
    <n v="1.5"/>
    <s v="SI"/>
    <n v="1.5"/>
    <n v="0"/>
    <m/>
  </r>
  <r>
    <s v="NESTLE PURINA"/>
    <x v="1"/>
    <x v="1"/>
    <s v="OLIMPICA"/>
    <n v="424810"/>
    <x v="1"/>
    <s v="RESUELVE LA OBJECION SATISFACTORIAMENTE?"/>
    <s v="SI"/>
    <m/>
    <n v="30249632"/>
    <s v="NestleP.5"/>
    <x v="0"/>
    <x v="4"/>
    <n v="3.75"/>
    <s v="SI"/>
    <n v="3.75"/>
    <n v="0"/>
    <m/>
  </r>
  <r>
    <s v="NESTLE PURINA"/>
    <x v="1"/>
    <x v="1"/>
    <s v="OLIMPICA"/>
    <n v="424810"/>
    <x v="1"/>
    <s v="TIENE UÑAS LLAMATIVAS Y/O LARGAS QUE NO CUMPLE CON EL CODIGO DE VESTIMENTA"/>
    <s v="NO"/>
    <m/>
    <n v="30249632"/>
    <s v="NestleP.5"/>
    <x v="0"/>
    <x v="3"/>
    <n v="1.5"/>
    <s v="NO"/>
    <n v="1.5"/>
    <n v="0"/>
    <m/>
  </r>
  <r>
    <s v="NESTLE PURINA"/>
    <x v="1"/>
    <x v="1"/>
    <s v="OLIMPICA"/>
    <n v="424810"/>
    <x v="1"/>
    <s v="PRESENTA EXCESO DE MAQUILLAJE QUE NO CUMPLE CON EL CODIGO DE VESTIMENTA"/>
    <s v="NO"/>
    <m/>
    <n v="30249632"/>
    <s v="NestleP.5"/>
    <x v="0"/>
    <x v="3"/>
    <n v="1.5"/>
    <s v="NO"/>
    <n v="1.5"/>
    <n v="0"/>
    <m/>
  </r>
  <r>
    <s v="NESTLE PURINA"/>
    <x v="2"/>
    <x v="0"/>
    <s v="MERCA Z"/>
    <n v="424808"/>
    <x v="2"/>
    <s v="INDIQUE QUE TIPO DE OBJECION / DUDA MANIFESTÓ"/>
    <s v=" NO TIENE DINERO"/>
    <m/>
    <n v="30231329"/>
    <s v="PREMISEUNP 51"/>
    <x v="0"/>
    <x v="0"/>
    <n v="0"/>
    <n v="0"/>
    <n v="0"/>
    <n v="0"/>
    <m/>
  </r>
  <r>
    <s v="NESTLE PURINA"/>
    <x v="2"/>
    <x v="0"/>
    <s v="MERCA Z"/>
    <n v="424808"/>
    <x v="2"/>
    <s v="RESUELVE LA OBJECION SATISFACTORIAMENTE?"/>
    <s v="SI"/>
    <m/>
    <n v="30231329"/>
    <s v="PREMISEUNP 51"/>
    <x v="0"/>
    <x v="4"/>
    <n v="3.75"/>
    <s v="SI"/>
    <n v="3.75"/>
    <n v="0"/>
    <m/>
  </r>
  <r>
    <s v="NESTLE PURINA"/>
    <x v="2"/>
    <x v="0"/>
    <s v="MERCA Z"/>
    <n v="424808"/>
    <x v="2"/>
    <s v="SE ENCUENTRA LIMPIA EL AREA DE DEMOSTRACION &quot;REVISION DE PRODUCTO SIN POLVO Y EN OPTIMAS CONDICIONES&quot;"/>
    <s v="SI"/>
    <m/>
    <n v="30231329"/>
    <s v="PREMISEUNP 51"/>
    <x v="0"/>
    <x v="4"/>
    <n v="3.75"/>
    <s v="SI"/>
    <n v="3.75"/>
    <n v="0"/>
    <m/>
  </r>
  <r>
    <s v="NESTLE PURINA"/>
    <x v="2"/>
    <x v="0"/>
    <s v="MERCA Z"/>
    <n v="424808"/>
    <x v="2"/>
    <s v="REALIZA CIERRE DE VENTA"/>
    <s v="SI"/>
    <m/>
    <n v="30231329"/>
    <s v="PREMISEUNP 51"/>
    <x v="0"/>
    <x v="4"/>
    <n v="3.75"/>
    <s v="SI"/>
    <n v="3.75"/>
    <n v="0"/>
    <m/>
  </r>
  <r>
    <s v="NESTLE PURINA"/>
    <x v="2"/>
    <x v="0"/>
    <s v="MERCA Z"/>
    <n v="424808"/>
    <x v="2"/>
    <s v="CONSIDERO QUE INDEPENDIENTEMENTE DEL SPEECH, LA LABOR DE VENTA ES BUENA"/>
    <s v="SI"/>
    <m/>
    <n v="30231329"/>
    <s v="PREMISEUNP 51"/>
    <x v="0"/>
    <x v="4"/>
    <n v="3.75"/>
    <s v="SI"/>
    <n v="3.75"/>
    <n v="0"/>
    <m/>
  </r>
  <r>
    <s v="NESTLE PURINA"/>
    <x v="2"/>
    <x v="0"/>
    <s v="MERCA Z"/>
    <n v="424808"/>
    <x v="2"/>
    <s v="DESEA AÑADIR ALGUNA OBSERVACION Y/O NOVEDAD DEL MYSTERY REALIZADO?"/>
    <s v="NO"/>
    <m/>
    <n v="30231329"/>
    <s v="PREMISEUNP 51"/>
    <x v="0"/>
    <x v="0"/>
    <n v="0"/>
    <n v="0"/>
    <n v="0"/>
    <n v="0"/>
    <m/>
  </r>
  <r>
    <s v="NESTLE PURINA"/>
    <x v="1"/>
    <x v="1"/>
    <s v="OLIMPICA"/>
    <n v="424810"/>
    <x v="1"/>
    <s v="TIENE TATUAJES O PIERCINGS VISIBLES QUE NO CUMPLE CON EL CODIGO DE VESTIMENTA"/>
    <s v="NO"/>
    <m/>
    <n v="30249632"/>
    <s v="NestleP.5"/>
    <x v="0"/>
    <x v="3"/>
    <n v="1.5"/>
    <s v="NO"/>
    <n v="1.5"/>
    <n v="0"/>
    <m/>
  </r>
  <r>
    <s v="NESTLE PURINA"/>
    <x v="1"/>
    <x v="1"/>
    <s v="OLIMPICA"/>
    <n v="424810"/>
    <x v="1"/>
    <s v="SE LOGRA REALIZAR EL MYSTERY?"/>
    <s v="SI"/>
    <m/>
    <n v="30249632"/>
    <s v="NestleP.5"/>
    <x v="0"/>
    <x v="0"/>
    <n v="0"/>
    <n v="0"/>
    <n v="0"/>
    <n v="0"/>
    <m/>
  </r>
  <r>
    <s v="NESTLE PURINA"/>
    <x v="1"/>
    <x v="1"/>
    <s v="OLIMPICA"/>
    <n v="424810"/>
    <x v="1"/>
    <s v="CUENTA CON PANTALON DEL UNIFORME SEGÚN EL CARGO (NEGRO / ROJO / TURQUESA / JEAN)"/>
    <s v="SI"/>
    <m/>
    <n v="30249632"/>
    <s v="NestleP.5"/>
    <x v="0"/>
    <x v="3"/>
    <n v="1.5"/>
    <s v="SI"/>
    <n v="1.5"/>
    <n v="0"/>
    <m/>
  </r>
  <r>
    <s v="NESTLE PURINA"/>
    <x v="1"/>
    <x v="1"/>
    <s v="OLIMPICA"/>
    <n v="424810"/>
    <x v="1"/>
    <s v="CUENTA CON CAMISA DEL UNIFORME Y LOGOS SEGÚN EL CARGO (NEGRA / GRIS / ROJA / TURQUESA) (Es permitido usar debajo de la camisa buso manga larga Negro)"/>
    <s v="SI"/>
    <m/>
    <n v="30249632"/>
    <s v="NestleP.5"/>
    <x v="0"/>
    <x v="3"/>
    <n v="1.5"/>
    <s v="SI"/>
    <n v="1.5"/>
    <n v="0"/>
    <m/>
  </r>
  <r>
    <s v="NESTLE PURINA"/>
    <x v="1"/>
    <x v="1"/>
    <s v="OLIMPICA"/>
    <n v="424810"/>
    <x v="1"/>
    <s v="CUENTA CON CALZADO DE ACUERDO AL UNIFORME"/>
    <s v="SI"/>
    <m/>
    <n v="30249632"/>
    <s v="NestleP.5"/>
    <x v="0"/>
    <x v="3"/>
    <n v="1.5"/>
    <s v="SI"/>
    <n v="1.5"/>
    <n v="0"/>
    <m/>
  </r>
  <r>
    <s v="NESTLE PURINA"/>
    <x v="1"/>
    <x v="1"/>
    <s v="OLIMPICA"/>
    <n v="424810"/>
    <x v="1"/>
    <s v="POSEE ALGUNA PRENDA ENCIMA DEL UNIFORME NO AUTORIZADA POR LA MARCA (Unicamente esta permitido chaleco de Sodimac y Easy)"/>
    <s v="NO"/>
    <m/>
    <n v="30249632"/>
    <s v="NestleP.5"/>
    <x v="0"/>
    <x v="3"/>
    <n v="1.5"/>
    <s v="NO"/>
    <n v="1.5"/>
    <n v="0"/>
    <m/>
  </r>
  <r>
    <s v="NESTLE PURINA"/>
    <x v="1"/>
    <x v="1"/>
    <s v="OLIMPICA"/>
    <n v="424810"/>
    <x v="1"/>
    <s v="EL UNIFORME Y ZAPATOS SE ENCUENTRAN LIMPIOS Y EN BUEN ESTADO"/>
    <s v="SI"/>
    <m/>
    <n v="30249632"/>
    <s v="NestleP.5"/>
    <x v="0"/>
    <x v="3"/>
    <n v="1.5"/>
    <s v="SI"/>
    <n v="1.5"/>
    <n v="0"/>
    <m/>
  </r>
  <r>
    <s v="NESTLE PURINA"/>
    <x v="1"/>
    <x v="1"/>
    <s v="OLIMPICA"/>
    <n v="424810"/>
    <x v="1"/>
    <s v="SU CABELLO LUCE LIMPIO, ORGANIZADO O RECOGIDO"/>
    <s v="SI"/>
    <m/>
    <n v="30249632"/>
    <s v="NestleP.5"/>
    <x v="0"/>
    <x v="3"/>
    <n v="1.5"/>
    <s v="SI"/>
    <n v="1.5"/>
    <n v="0"/>
    <m/>
  </r>
  <r>
    <s v="NESTLE PURINA"/>
    <x v="1"/>
    <x v="1"/>
    <s v="OLIMPICA"/>
    <n v="424810"/>
    <x v="1"/>
    <s v="¿CUMPLE HORARIO DE ENTRADA O SALIDA DE LA TIENDA?"/>
    <s v="SI"/>
    <m/>
    <n v="30249632"/>
    <s v="NestleP.5"/>
    <x v="0"/>
    <x v="5"/>
    <n v="20"/>
    <s v="SI"/>
    <n v="20"/>
    <n v="0"/>
    <m/>
  </r>
  <r>
    <s v="NESTLE PURINA"/>
    <x v="1"/>
    <x v="1"/>
    <s v="OLIMPICA"/>
    <n v="424810"/>
    <x v="1"/>
    <s v="SE ENCUENTRA LIMPIA EL AREA DE DEMOSTRACION &quot;REVISION DE PRODUCTO SIN POLVO Y EN OPTIMAS CONDICIONES&quot;"/>
    <s v="SI"/>
    <m/>
    <n v="30249632"/>
    <s v="NestleP.5"/>
    <x v="0"/>
    <x v="4"/>
    <n v="3.75"/>
    <s v="SI"/>
    <n v="3.75"/>
    <n v="0"/>
    <m/>
  </r>
  <r>
    <s v="NESTLE PURINA"/>
    <x v="1"/>
    <x v="1"/>
    <s v="OLIMPICA"/>
    <n v="424810"/>
    <x v="1"/>
    <s v="REALIZA CIERRE DE VENTA"/>
    <s v="SI"/>
    <m/>
    <n v="30249632"/>
    <s v="NestleP.5"/>
    <x v="0"/>
    <x v="4"/>
    <n v="3.75"/>
    <s v="SI"/>
    <n v="3.75"/>
    <n v="0"/>
    <m/>
  </r>
  <r>
    <s v="NESTLE PURINA"/>
    <x v="1"/>
    <x v="1"/>
    <s v="OLIMPICA"/>
    <n v="424810"/>
    <x v="1"/>
    <s v="CONSIDERO QUE INDEPENDIENTEMENTE DEL SPEECH, LA LABOR DE VENTA ES BUENA"/>
    <s v="SI"/>
    <m/>
    <n v="30249632"/>
    <s v="NestleP.5"/>
    <x v="0"/>
    <x v="4"/>
    <n v="3.75"/>
    <s v="SI"/>
    <n v="3.75"/>
    <n v="0"/>
    <m/>
  </r>
  <r>
    <s v="NESTLE PURINA"/>
    <x v="3"/>
    <x v="0"/>
    <s v="OLIMPICA"/>
    <n v="421609"/>
    <x v="3"/>
    <s v="ABORDA AL SHOPPER CON EL VERBATIM Y MANEJA LAS OBJECIONES SEGÚN COMUNICADO ENVIADO."/>
    <s v="SI"/>
    <m/>
    <n v="30281524"/>
    <s v="NestleP.5"/>
    <x v="0"/>
    <x v="2"/>
    <n v="0"/>
    <s v="SI"/>
    <n v="0"/>
    <n v="0"/>
    <m/>
  </r>
  <r>
    <s v="NESTLE PURINA"/>
    <x v="3"/>
    <x v="0"/>
    <s v="OLIMPICA"/>
    <n v="421609"/>
    <x v="3"/>
    <s v="MENCIONA LA REDUCCION DE PRECIOS QUE TENEMOS DESDE EL MES DE DICIEMBRE (la unica referencia que no aplica es Gato adult carne 500gr)"/>
    <s v="SI"/>
    <m/>
    <n v="30281524"/>
    <s v="NestleP.5"/>
    <x v="0"/>
    <x v="2"/>
    <n v="0"/>
    <s v="SI"/>
    <n v="0"/>
    <n v="0"/>
    <m/>
  </r>
  <r>
    <s v="NESTLE PURINA"/>
    <x v="3"/>
    <x v="0"/>
    <s v="OLIMPICA"/>
    <n v="421609"/>
    <x v="3"/>
    <s v="(OFRECE EL OBSEQUIO APLICA VIERNES, SABADO Y DOMINGO) Y EXPLICA COMO HACER LA TRANSICIÓN  DEL PRODUCTO Y BENEFICIOS?"/>
    <s v="SI"/>
    <m/>
    <n v="30281524"/>
    <s v="NestleP.5"/>
    <x v="0"/>
    <x v="2"/>
    <n v="0"/>
    <s v="SI"/>
    <n v="0"/>
    <n v="0"/>
    <m/>
  </r>
  <r>
    <s v="NESTLE PURINA"/>
    <x v="3"/>
    <x v="0"/>
    <s v="OLIMPICA"/>
    <n v="421609"/>
    <x v="3"/>
    <s v="SELECCIONE EL CANAL DEL PDV QUE EVALUA"/>
    <s v="ESPECIALIZADO"/>
    <m/>
    <n v="30281524"/>
    <s v="NestleP.5"/>
    <x v="0"/>
    <x v="0"/>
    <n v="0"/>
    <n v="0"/>
    <n v="0"/>
    <n v="0"/>
    <m/>
  </r>
  <r>
    <s v="NESTLE PURINA"/>
    <x v="3"/>
    <x v="0"/>
    <s v="OLIMPICA"/>
    <n v="421609"/>
    <x v="3"/>
    <s v="CE - LO PRIMERO QUE OFRECE EL ASESOR ES LA MARCA PRO PLAN? (ENFOQUE EN GATOS)"/>
    <s v="SI"/>
    <m/>
    <n v="30281524"/>
    <s v="NestleP.5"/>
    <x v="0"/>
    <x v="2"/>
    <n v="3"/>
    <s v="SI"/>
    <n v="3"/>
    <n v="0"/>
    <m/>
  </r>
  <r>
    <s v="NESTLE PURINA"/>
    <x v="3"/>
    <x v="0"/>
    <s v="OLIMPICA"/>
    <n v="421609"/>
    <x v="3"/>
    <s v="CE - EL ASESOR COMUNICA LOS BENEFICIOS Y CARACTERISTICAS DE LA MARCA PRO PLAN? (ENFOQUE EN GATOS)"/>
    <s v="SI"/>
    <m/>
    <n v="30281524"/>
    <s v="NestleP.5"/>
    <x v="0"/>
    <x v="2"/>
    <n v="3"/>
    <s v="SI"/>
    <n v="3"/>
    <n v="0"/>
    <m/>
  </r>
  <r>
    <s v="NESTLE PURINA"/>
    <x v="3"/>
    <x v="0"/>
    <s v="OLIMPICA"/>
    <n v="421609"/>
    <x v="3"/>
    <s v="MENCIONA QUE PURINA ONE CUENTA CON ALIMENTO HUMEDO Y MENCIONA LAS 3 VARIADADES QUE TIENE ( SUPER FOODS, SUPER NUTRIENTES Y MULTI PROTEINAS); APLICA TANTO PARA PERRO COMO PARA GATO?"/>
    <s v="SI"/>
    <m/>
    <n v="30281524"/>
    <s v="NestleP.5"/>
    <x v="0"/>
    <x v="2"/>
    <n v="0"/>
    <s v="SI"/>
    <n v="0"/>
    <n v="0"/>
    <m/>
  </r>
  <r>
    <s v="NESTLE PURINA"/>
    <x v="3"/>
    <x v="0"/>
    <s v="OLIMPICA"/>
    <n v="421609"/>
    <x v="3"/>
    <s v="CE - LUEGO DE REALIZAR LA OBJECIÓN DE PRECIO, OFRECE LA MARCA EXCELLENT? (ENFOQUE EN GATOS)"/>
    <s v="SI"/>
    <m/>
    <n v="30281524"/>
    <s v="NestleP.5"/>
    <x v="0"/>
    <x v="2"/>
    <n v="3"/>
    <s v="SI"/>
    <n v="3"/>
    <n v="0"/>
    <m/>
  </r>
  <r>
    <s v="NESTLE PURINA"/>
    <x v="3"/>
    <x v="0"/>
    <s v="OLIMPICA"/>
    <n v="421609"/>
    <x v="3"/>
    <s v="CE - EL ASESOR COMUNICA LOS BENEFICIOS Y CARACTERISTICAS DEL PRODUCTO EXCELLENT? (ENFOQUE EN GATOS)"/>
    <s v="SI"/>
    <m/>
    <n v="30281524"/>
    <s v="NestleP.5"/>
    <x v="0"/>
    <x v="2"/>
    <n v="3"/>
    <s v="SI"/>
    <n v="3"/>
    <n v="0"/>
    <m/>
  </r>
  <r>
    <s v="NESTLE PURINA"/>
    <x v="3"/>
    <x v="0"/>
    <s v="OLIMPICA"/>
    <n v="421609"/>
    <x v="3"/>
    <s v="CE - OFRECE PRODUCTO HUMEDO Y ENFATIZA EN LOS PACKS POR TEMAS DE PRECIO? (GATOS Y PERROS)"/>
    <s v="SI"/>
    <m/>
    <n v="30281524"/>
    <s v="NestleP.5"/>
    <x v="0"/>
    <x v="2"/>
    <n v="3"/>
    <s v="SI"/>
    <n v="3"/>
    <n v="0"/>
    <m/>
  </r>
  <r>
    <s v="NESTLE PURINA"/>
    <x v="3"/>
    <x v="0"/>
    <s v="OLIMPICA"/>
    <n v="421609"/>
    <x v="3"/>
    <s v="INDIQUE QUE TIPO DE OBJECION / DUDA MANIFESTÓ"/>
    <s v=" NO TIENE DINERO"/>
    <m/>
    <n v="30281524"/>
    <s v="NestleP.5"/>
    <x v="0"/>
    <x v="0"/>
    <n v="0"/>
    <n v="0"/>
    <n v="0"/>
    <n v="0"/>
    <m/>
  </r>
  <r>
    <s v="NESTLE PURINA"/>
    <x v="3"/>
    <x v="0"/>
    <s v="OLIMPICA"/>
    <n v="421609"/>
    <x v="3"/>
    <s v="RESUELVE LA OBJECION SATISFACTORIAMENTE?"/>
    <s v="SI"/>
    <m/>
    <n v="30281524"/>
    <s v="NestleP.5"/>
    <x v="0"/>
    <x v="4"/>
    <n v="3.75"/>
    <s v="SI"/>
    <n v="3.75"/>
    <n v="0"/>
    <m/>
  </r>
  <r>
    <s v="NESTLE PURINA"/>
    <x v="3"/>
    <x v="0"/>
    <s v="OLIMPICA"/>
    <n v="421609"/>
    <x v="3"/>
    <s v="SE ENCUENTRA LIMPIA EL AREA DE DEMOSTRACION &quot;REVISION DE PRODUCTO SIN POLVO Y EN OPTIMAS CONDICIONES&quot;"/>
    <s v="SI"/>
    <m/>
    <n v="30281524"/>
    <s v="NestleP.5"/>
    <x v="0"/>
    <x v="4"/>
    <n v="3.75"/>
    <s v="SI"/>
    <n v="3.75"/>
    <n v="0"/>
    <m/>
  </r>
  <r>
    <s v="NESTLE PURINA"/>
    <x v="3"/>
    <x v="0"/>
    <s v="OLIMPICA"/>
    <n v="421609"/>
    <x v="3"/>
    <s v="REALIZA CIERRE DE VENTA"/>
    <s v="SI"/>
    <m/>
    <n v="30281524"/>
    <s v="NestleP.5"/>
    <x v="0"/>
    <x v="4"/>
    <n v="3.75"/>
    <s v="SI"/>
    <n v="3.75"/>
    <n v="0"/>
    <m/>
  </r>
  <r>
    <s v="NESTLE PURINA"/>
    <x v="3"/>
    <x v="0"/>
    <s v="OLIMPICA"/>
    <n v="421609"/>
    <x v="3"/>
    <s v="CE - EL ASESOR COMUNICA QUE LA MARCA EXCELLENT ESTA DENTRO DE LA CATEGORIA SUPERPREMIUM PERO A UN COSTO MAS ACCESIBLE."/>
    <s v="SI"/>
    <m/>
    <n v="30281524"/>
    <s v="NestleP.5"/>
    <x v="0"/>
    <x v="2"/>
    <n v="3"/>
    <s v="SI"/>
    <n v="3"/>
    <n v="0"/>
    <m/>
  </r>
  <r>
    <s v="NESTLE PURINA"/>
    <x v="3"/>
    <x v="0"/>
    <s v="OLIMPICA"/>
    <n v="421609"/>
    <x v="3"/>
    <s v="MENCIONA QUE TIENE CARNE DE VERDAD COMO INGREDIENTE NO.1 E INGREDIENTES NATURALES Y FUNCIONALES?"/>
    <s v="SI"/>
    <m/>
    <n v="30281524"/>
    <s v="NestleP.5"/>
    <x v="0"/>
    <x v="2"/>
    <n v="0"/>
    <s v="SI"/>
    <n v="0"/>
    <n v="0"/>
    <m/>
  </r>
  <r>
    <s v="NESTLE PURINA"/>
    <x v="3"/>
    <x v="0"/>
    <s v="OLIMPICA"/>
    <n v="421609"/>
    <x v="3"/>
    <s v="MENCIONA QUE LOS RESULTADOS SON VISIBLES EN 28 DIAS?"/>
    <s v="SI"/>
    <m/>
    <n v="30281524"/>
    <s v="NestleP.5"/>
    <x v="0"/>
    <x v="2"/>
    <n v="0"/>
    <s v="SI"/>
    <n v="0"/>
    <n v="0"/>
    <m/>
  </r>
  <r>
    <s v="NESTLE PURINA"/>
    <x v="3"/>
    <x v="0"/>
    <s v="OLIMPICA"/>
    <n v="421609"/>
    <x v="3"/>
    <s v="OFRECE PURINA ONE: (APLICA SOLO EN CANAL MODERNO, CADENAS, SI EL PRODUCTO ESTA EN EL PDV)"/>
    <s v="SI"/>
    <m/>
    <n v="30281524"/>
    <s v="NestleP.5"/>
    <x v="0"/>
    <x v="2"/>
    <n v="6"/>
    <s v="SI"/>
    <n v="6"/>
    <n v="0"/>
    <m/>
  </r>
  <r>
    <s v="NESTLE PURINA"/>
    <x v="1"/>
    <x v="1"/>
    <s v="OLIMPICA"/>
    <n v="424810"/>
    <x v="1"/>
    <s v="DESEA AÑADIR ALGUNA OBSERVACION Y/O NOVEDAD DEL MYSTERY REALIZADO?"/>
    <s v="NO"/>
    <m/>
    <n v="30249632"/>
    <s v="NestleP.5"/>
    <x v="0"/>
    <x v="0"/>
    <n v="0"/>
    <n v="0"/>
    <n v="0"/>
    <n v="0"/>
    <m/>
  </r>
  <r>
    <s v="NESTLE PURINA"/>
    <x v="3"/>
    <x v="0"/>
    <s v="OLIMPICA"/>
    <n v="421609"/>
    <x v="3"/>
    <s v="SE LOGRA REALIZAR EL MYSTERY?"/>
    <s v="SI"/>
    <m/>
    <n v="30281524"/>
    <s v="NestleP.5"/>
    <x v="0"/>
    <x v="0"/>
    <n v="0"/>
    <n v="0"/>
    <n v="0"/>
    <n v="0"/>
    <m/>
  </r>
  <r>
    <s v="NESTLE PURINA"/>
    <x v="3"/>
    <x v="0"/>
    <s v="OLIMPICA"/>
    <n v="421609"/>
    <x v="3"/>
    <s v="¿CUMPLE HORARIO DE ENTRADA O SALIDA DE LA TIENDA?"/>
    <s v="SI"/>
    <m/>
    <n v="30281524"/>
    <s v="NestleP.5"/>
    <x v="0"/>
    <x v="5"/>
    <n v="20"/>
    <s v="SI"/>
    <n v="20"/>
    <n v="0"/>
    <m/>
  </r>
  <r>
    <s v="NESTLE PURINA"/>
    <x v="3"/>
    <x v="0"/>
    <s v="OLIMPICA"/>
    <n v="421609"/>
    <x v="3"/>
    <s v="CUENTA CON PANTALON DEL UNIFORME SEGÚN EL CARGO (NEGRO / ROJO / TURQUESA / JEAN)"/>
    <s v="SI"/>
    <m/>
    <n v="30281524"/>
    <s v="NestleP.5"/>
    <x v="0"/>
    <x v="3"/>
    <n v="1.5"/>
    <s v="SI"/>
    <n v="1.5"/>
    <n v="0"/>
    <m/>
  </r>
  <r>
    <s v="NESTLE PURINA"/>
    <x v="3"/>
    <x v="0"/>
    <s v="OLIMPICA"/>
    <n v="421609"/>
    <x v="3"/>
    <s v="CUENTA CON CAMISA DEL UNIFORME Y LOGOS SEGÚN EL CARGO (NEGRA / GRIS / ROJA / TURQUESA) (Es permitido usar debajo de la camisa buso manga larga Negro)"/>
    <s v="SI"/>
    <m/>
    <n v="30281524"/>
    <s v="NestleP.5"/>
    <x v="0"/>
    <x v="3"/>
    <n v="1.5"/>
    <s v="SI"/>
    <n v="1.5"/>
    <n v="0"/>
    <m/>
  </r>
  <r>
    <s v="NESTLE PURINA"/>
    <x v="3"/>
    <x v="0"/>
    <s v="OLIMPICA"/>
    <n v="421609"/>
    <x v="3"/>
    <s v="CUENTA CON CALZADO DE ACUERDO AL UNIFORME"/>
    <s v="SI"/>
    <m/>
    <n v="30281524"/>
    <s v="NestleP.5"/>
    <x v="0"/>
    <x v="3"/>
    <n v="1.5"/>
    <s v="SI"/>
    <n v="1.5"/>
    <n v="0"/>
    <m/>
  </r>
  <r>
    <s v="NESTLE PURINA"/>
    <x v="3"/>
    <x v="0"/>
    <s v="OLIMPICA"/>
    <n v="421609"/>
    <x v="3"/>
    <s v="POSEE ALGUNA PRENDA ENCIMA DEL UNIFORME NO AUTORIZADA POR LA MARCA (Unicamente esta permitido chaleco de Sodimac y Easy)"/>
    <s v="NO"/>
    <m/>
    <n v="30281524"/>
    <s v="NestleP.5"/>
    <x v="0"/>
    <x v="3"/>
    <n v="1.5"/>
    <s v="NO"/>
    <n v="1.5"/>
    <n v="0"/>
    <m/>
  </r>
  <r>
    <s v="NESTLE PURINA"/>
    <x v="3"/>
    <x v="0"/>
    <s v="OLIMPICA"/>
    <n v="421609"/>
    <x v="3"/>
    <s v="EL UNIFORME Y ZAPATOS SE ENCUENTRAN LIMPIOS Y EN BUEN ESTADO"/>
    <s v="SI"/>
    <m/>
    <n v="30281524"/>
    <s v="NestleP.5"/>
    <x v="0"/>
    <x v="3"/>
    <n v="1.5"/>
    <s v="SI"/>
    <n v="1.5"/>
    <n v="0"/>
    <m/>
  </r>
  <r>
    <s v="NESTLE PURINA"/>
    <x v="3"/>
    <x v="0"/>
    <s v="OLIMPICA"/>
    <n v="421609"/>
    <x v="3"/>
    <s v="SU CABELLO LUCE LIMPIO, ORGANIZADO O RECOGIDO"/>
    <s v="SI"/>
    <m/>
    <n v="30281524"/>
    <s v="NestleP.5"/>
    <x v="0"/>
    <x v="3"/>
    <n v="1.5"/>
    <s v="SI"/>
    <n v="1.5"/>
    <n v="0"/>
    <m/>
  </r>
  <r>
    <s v="NESTLE PURINA"/>
    <x v="3"/>
    <x v="0"/>
    <s v="OLIMPICA"/>
    <n v="421609"/>
    <x v="3"/>
    <s v="PRESENTA EXCESO DE MAQUILLAJE QUE NO CUMPLE CON EL CODIGO DE VESTIMENTA"/>
    <s v="NO"/>
    <m/>
    <n v="30281524"/>
    <s v="NestleP.5"/>
    <x v="0"/>
    <x v="3"/>
    <n v="1.5"/>
    <s v="NO"/>
    <n v="1.5"/>
    <n v="0"/>
    <m/>
  </r>
  <r>
    <s v="NESTLE PURINA"/>
    <x v="3"/>
    <x v="0"/>
    <s v="OLIMPICA"/>
    <n v="421609"/>
    <x v="3"/>
    <s v="TIENE TATUAJES O PIERCINGS VISIBLES QUE NO CUMPLE CON EL CODIGO DE VESTIMENTA"/>
    <s v="NO"/>
    <m/>
    <n v="30281524"/>
    <s v="NestleP.5"/>
    <x v="0"/>
    <x v="3"/>
    <n v="1.5"/>
    <s v="NO"/>
    <n v="1.5"/>
    <n v="0"/>
    <m/>
  </r>
  <r>
    <s v="NESTLE PURINA"/>
    <x v="3"/>
    <x v="0"/>
    <s v="OLIMPICA"/>
    <n v="421609"/>
    <x v="3"/>
    <s v="TIENE UÑAS LLAMATIVAS Y/O LARGAS QUE NO CUMPLE CON EL CODIGO DE VESTIMENTA"/>
    <s v="NO"/>
    <m/>
    <n v="30281524"/>
    <s v="NestleP.5"/>
    <x v="0"/>
    <x v="3"/>
    <n v="1.5"/>
    <s v="NO"/>
    <n v="1.5"/>
    <n v="0"/>
    <m/>
  </r>
  <r>
    <s v="NESTLE PURINA"/>
    <x v="3"/>
    <x v="0"/>
    <s v="OLIMPICA"/>
    <n v="421609"/>
    <x v="3"/>
    <s v="USA ACCESORIOS QUE NO CUMPLE CON EL CODIGO DE VESTIMENTA"/>
    <s v="NO"/>
    <m/>
    <n v="30281524"/>
    <s v="NestleP.5"/>
    <x v="0"/>
    <x v="3"/>
    <n v="1.5"/>
    <s v="NO"/>
    <n v="1.5"/>
    <n v="0"/>
    <m/>
  </r>
  <r>
    <s v="NESTLE PURINA"/>
    <x v="3"/>
    <x v="0"/>
    <s v="OLIMPICA"/>
    <n v="421609"/>
    <x v="3"/>
    <s v="SE PRODUCE ABORDAJE PROACTIVO (antes de 1 min)"/>
    <s v="SI"/>
    <m/>
    <n v="30281524"/>
    <s v="NestleP.5"/>
    <x v="0"/>
    <x v="1"/>
    <n v="20"/>
    <s v="SI"/>
    <n v="20"/>
    <n v="0"/>
    <m/>
  </r>
  <r>
    <s v="NESTLE PURINA"/>
    <x v="3"/>
    <x v="0"/>
    <s v="OLIMPICA"/>
    <n v="421609"/>
    <x v="3"/>
    <s v="INDAGA SOBRE LAS NECESIDADES DEL CLIENTE CON RESPECTO A SU CONSUMO HABITUAL &quot; MARCAS COMPETENCIA O PROPIAS&quot; - OBJECIÓN DE PRECIOS."/>
    <s v="SI"/>
    <m/>
    <n v="30281524"/>
    <s v="NestleP.5"/>
    <x v="0"/>
    <x v="2"/>
    <n v="6"/>
    <s v="SI"/>
    <n v="6"/>
    <n v="0"/>
    <m/>
  </r>
  <r>
    <s v="NESTLE PURINA"/>
    <x v="2"/>
    <x v="0"/>
    <s v="MERCA Z"/>
    <n v="424808"/>
    <x v="2"/>
    <s v="CE - OFRECE PRODUCTO HUMEDO Y ENFATIZA EN LOS PACKS POR TEMAS DE PRECIO? (GATOS Y PERROS)"/>
    <s v="SI"/>
    <m/>
    <n v="30231329"/>
    <s v="PREMISEUNP 51"/>
    <x v="0"/>
    <x v="2"/>
    <n v="3"/>
    <s v="SI"/>
    <n v="3"/>
    <n v="0"/>
    <m/>
  </r>
  <r>
    <s v="NESTLE PURINA"/>
    <x v="2"/>
    <x v="0"/>
    <s v="MERCA Z"/>
    <n v="424808"/>
    <x v="2"/>
    <s v="CE - EL ASESOR COMUNICA LOS BENEFICIOS Y CARACTERISTICAS DEL PRODUCTO EXCELLENT? (ENFOQUE EN GATOS)"/>
    <s v="SI"/>
    <m/>
    <n v="30231329"/>
    <s v="PREMISEUNP 51"/>
    <x v="0"/>
    <x v="2"/>
    <n v="3"/>
    <s v="SI"/>
    <n v="3"/>
    <n v="0"/>
    <m/>
  </r>
  <r>
    <s v="NESTLE PURINA"/>
    <x v="2"/>
    <x v="0"/>
    <s v="MERCA Z"/>
    <n v="424808"/>
    <x v="2"/>
    <s v="CE - EL ASESOR COMUNICA QUE LA MARCA EXCELLENT ESTA DENTRO DE LA CATEGORIA SUPERPREMIUM PERO A UN COSTO MAS ACCESIBLE."/>
    <s v="SI"/>
    <m/>
    <n v="30231329"/>
    <s v="PREMISEUNP 51"/>
    <x v="0"/>
    <x v="2"/>
    <n v="3"/>
    <s v="SI"/>
    <n v="3"/>
    <n v="0"/>
    <m/>
  </r>
  <r>
    <s v="NESTLE PURINA"/>
    <x v="2"/>
    <x v="0"/>
    <s v="MERCA Z"/>
    <n v="424808"/>
    <x v="2"/>
    <s v="CE - LUEGO DE REALIZAR LA OBJECIÓN DE PRECIO, OFRECE LA MARCA EXCELLENT? (ENFOQUE EN GATOS)"/>
    <s v="SI"/>
    <m/>
    <n v="30231329"/>
    <s v="PREMISEUNP 51"/>
    <x v="0"/>
    <x v="2"/>
    <n v="3"/>
    <s v="SI"/>
    <n v="3"/>
    <n v="0"/>
    <m/>
  </r>
  <r>
    <s v="NESTLE PURINA"/>
    <x v="0"/>
    <x v="0"/>
    <s v="JUMBO"/>
    <n v="424858"/>
    <x v="0"/>
    <s v="CE - EL ASESOR COMUNICA LOS BENEFICIOS Y CARACTERISTICAS DEL PRODUCTO EXCELLENT? (ENFOQUE EN GATOS)"/>
    <s v="SI"/>
    <m/>
    <n v="30182843"/>
    <s v="NestleP.1"/>
    <x v="0"/>
    <x v="2"/>
    <n v="3"/>
    <s v="SI"/>
    <n v="3"/>
    <n v="0"/>
    <m/>
  </r>
  <r>
    <s v="NESTLE PURINA"/>
    <x v="0"/>
    <x v="0"/>
    <s v="JUMBO"/>
    <n v="424858"/>
    <x v="0"/>
    <s v="CE - OFRECE PRODUCTO HUMEDO Y ENFATIZA EN LOS PACKS POR TEMAS DE PRECIO? (GATOS Y PERROS)"/>
    <s v="NO"/>
    <m/>
    <n v="30182843"/>
    <s v="NestleP.1"/>
    <x v="0"/>
    <x v="2"/>
    <n v="3"/>
    <s v="SI"/>
    <n v="0"/>
    <n v="0"/>
    <m/>
  </r>
  <r>
    <s v="NESTLE PURINA"/>
    <x v="0"/>
    <x v="0"/>
    <s v="JUMBO"/>
    <n v="424858"/>
    <x v="0"/>
    <s v="INDIQUE QUE TIPO DE OBJECION / DUDA MANIFESTÓ"/>
    <s v=" NO TIENE DINERO"/>
    <m/>
    <n v="30182843"/>
    <s v="NestleP.1"/>
    <x v="0"/>
    <x v="0"/>
    <n v="0"/>
    <n v="0"/>
    <n v="0"/>
    <n v="0"/>
    <m/>
  </r>
  <r>
    <s v="NESTLE PURINA"/>
    <x v="0"/>
    <x v="0"/>
    <s v="JUMBO"/>
    <n v="424858"/>
    <x v="0"/>
    <s v="RESUELVE LA OBJECION SATISFACTORIAMENTE?"/>
    <s v="SI"/>
    <m/>
    <n v="30182843"/>
    <s v="NestleP.1"/>
    <x v="0"/>
    <x v="4"/>
    <n v="3.75"/>
    <s v="SI"/>
    <n v="3.75"/>
    <n v="0"/>
    <m/>
  </r>
  <r>
    <s v="NESTLE PURINA"/>
    <x v="0"/>
    <x v="0"/>
    <s v="JUMBO"/>
    <n v="424858"/>
    <x v="0"/>
    <s v="SE ENCUENTRA LIMPIA EL AREA DE DEMOSTRACION &quot;REVISION DE PRODUCTO SIN POLVO Y EN OPTIMAS CONDICIONES&quot;"/>
    <s v="SI"/>
    <m/>
    <n v="30182843"/>
    <s v="NestleP.1"/>
    <x v="0"/>
    <x v="4"/>
    <n v="3.75"/>
    <s v="SI"/>
    <n v="3.75"/>
    <n v="0"/>
    <m/>
  </r>
  <r>
    <s v="NESTLE PURINA"/>
    <x v="0"/>
    <x v="0"/>
    <s v="JUMBO"/>
    <n v="424858"/>
    <x v="0"/>
    <s v="REALIZA CIERRE DE VENTA"/>
    <s v="SI"/>
    <m/>
    <n v="30182843"/>
    <s v="NestleP.1"/>
    <x v="0"/>
    <x v="4"/>
    <n v="3.75"/>
    <s v="SI"/>
    <n v="3.75"/>
    <n v="0"/>
    <m/>
  </r>
  <r>
    <s v="NESTLE PURINA"/>
    <x v="0"/>
    <x v="0"/>
    <s v="JUMBO"/>
    <n v="424858"/>
    <x v="0"/>
    <s v="CE - EL ASESOR COMUNICA QUE LA MARCA EXCELLENT ESTA DENTRO DE LA CATEGORIA SUPERPREMIUM PERO A UN COSTO MAS ACCESIBLE."/>
    <s v="SI"/>
    <m/>
    <n v="30182843"/>
    <s v="NestleP.1"/>
    <x v="0"/>
    <x v="2"/>
    <n v="3"/>
    <s v="SI"/>
    <n v="3"/>
    <n v="0"/>
    <m/>
  </r>
  <r>
    <s v="NESTLE PURINA"/>
    <x v="0"/>
    <x v="0"/>
    <s v="JUMBO"/>
    <n v="424858"/>
    <x v="0"/>
    <s v="CONSIDERO QUE INDEPENDIENTEMENTE DEL SPEECH, LA LABOR DE VENTA ES BUENA"/>
    <s v="SI"/>
    <m/>
    <n v="30182843"/>
    <s v="NestleP.1"/>
    <x v="0"/>
    <x v="4"/>
    <n v="3.75"/>
    <s v="SI"/>
    <n v="3.75"/>
    <n v="0"/>
    <m/>
  </r>
  <r>
    <s v="NESTLE PURINA"/>
    <x v="2"/>
    <x v="2"/>
    <s v="MERCA Z"/>
    <n v="66552"/>
    <x v="4"/>
    <s v="SE LOGRA REALIZAR EL MYSTERY?"/>
    <s v="SI"/>
    <m/>
    <n v="30189338"/>
    <s v="PREMISEUNP 51"/>
    <x v="0"/>
    <x v="0"/>
    <n v="0"/>
    <n v="0"/>
    <n v="0"/>
    <n v="0"/>
    <m/>
  </r>
  <r>
    <s v="NESTLE PURINA"/>
    <x v="2"/>
    <x v="2"/>
    <s v="MERCA Z"/>
    <n v="66552"/>
    <x v="4"/>
    <s v="¿CUMPLE HORARIO DE ENTRADA O SALIDA DE LA TIENDA?"/>
    <s v="SI"/>
    <m/>
    <n v="30189338"/>
    <s v="PREMISEUNP 51"/>
    <x v="0"/>
    <x v="5"/>
    <n v="20"/>
    <s v="SI"/>
    <n v="20"/>
    <n v="0"/>
    <m/>
  </r>
  <r>
    <s v="NESTLE PURINA"/>
    <x v="2"/>
    <x v="2"/>
    <s v="MERCA Z"/>
    <n v="66552"/>
    <x v="4"/>
    <s v="CUENTA CON PANTALON DEL UNIFORME SEGÚN EL CARGO (NEGRO / ROJO / TURQUESA / JEAN)"/>
    <s v="SI"/>
    <m/>
    <n v="30189338"/>
    <s v="PREMISEUNP 51"/>
    <x v="0"/>
    <x v="3"/>
    <n v="1.5"/>
    <s v="SI"/>
    <n v="1.5"/>
    <n v="0"/>
    <m/>
  </r>
  <r>
    <s v="NESTLE PURINA"/>
    <x v="2"/>
    <x v="2"/>
    <s v="MERCA Z"/>
    <n v="66552"/>
    <x v="4"/>
    <s v="CUENTA CON CAMISA DEL UNIFORME Y LOGOS SEGÚN EL CARGO (NEGRA / GRIS / ROJA / TURQUESA) (Es permitido usar debajo de la camisa buso manga larga Negro)"/>
    <s v="SI"/>
    <m/>
    <n v="30189338"/>
    <s v="PREMISEUNP 51"/>
    <x v="0"/>
    <x v="3"/>
    <n v="1.5"/>
    <s v="SI"/>
    <n v="1.5"/>
    <n v="0"/>
    <m/>
  </r>
  <r>
    <s v="NESTLE PURINA"/>
    <x v="2"/>
    <x v="2"/>
    <s v="MERCA Z"/>
    <n v="66552"/>
    <x v="4"/>
    <s v="CUENTA CON CALZADO DE ACUERDO AL UNIFORME"/>
    <s v="SI"/>
    <m/>
    <n v="30189338"/>
    <s v="PREMISEUNP 51"/>
    <x v="0"/>
    <x v="3"/>
    <n v="1.5"/>
    <s v="SI"/>
    <n v="1.5"/>
    <n v="0"/>
    <m/>
  </r>
  <r>
    <s v="NESTLE PURINA"/>
    <x v="2"/>
    <x v="2"/>
    <s v="MERCA Z"/>
    <n v="66552"/>
    <x v="4"/>
    <s v="POSEE ALGUNA PRENDA ENCIMA DEL UNIFORME NO AUTORIZADA POR LA MARCA (Unicamente esta permitido chaleco de Sodimac y Easy)"/>
    <s v="NO"/>
    <m/>
    <n v="30189338"/>
    <s v="PREMISEUNP 51"/>
    <x v="0"/>
    <x v="3"/>
    <n v="1.5"/>
    <s v="NO"/>
    <n v="1.5"/>
    <n v="0"/>
    <m/>
  </r>
  <r>
    <s v="NESTLE PURINA"/>
    <x v="0"/>
    <x v="0"/>
    <s v="JUMBO"/>
    <n v="424858"/>
    <x v="0"/>
    <s v="DESEA AÑADIR ALGUNA OBSERVACION Y/O NOVEDAD DEL MYSTERY REALIZADO?"/>
    <s v="NO"/>
    <m/>
    <n v="30182843"/>
    <s v="NestleP.1"/>
    <x v="0"/>
    <x v="0"/>
    <n v="0"/>
    <n v="0"/>
    <n v="0"/>
    <n v="0"/>
    <m/>
  </r>
  <r>
    <s v="NESTLE PURINA"/>
    <x v="0"/>
    <x v="0"/>
    <s v="JUMBO"/>
    <n v="424858"/>
    <x v="0"/>
    <s v="CE - LUEGO DE REALIZAR LA OBJECIÓN DE PRECIO, OFRECE LA MARCA EXCELLENT? (ENFOQUE EN GATOS)"/>
    <s v="SI"/>
    <m/>
    <n v="30182843"/>
    <s v="NestleP.1"/>
    <x v="0"/>
    <x v="2"/>
    <n v="3"/>
    <s v="SI"/>
    <n v="3"/>
    <n v="0"/>
    <m/>
  </r>
  <r>
    <s v="NESTLE PURINA"/>
    <x v="0"/>
    <x v="0"/>
    <s v="JUMBO"/>
    <n v="424858"/>
    <x v="0"/>
    <s v="CE - EL ASESOR COMUNICA LOS BENEFICIOS Y CARACTERISTICAS DE LA MARCA PRO PLAN? (ENFOQUE EN GATOS)"/>
    <s v="SI"/>
    <m/>
    <n v="30182843"/>
    <s v="NestleP.1"/>
    <x v="0"/>
    <x v="2"/>
    <n v="3"/>
    <s v="SI"/>
    <n v="3"/>
    <n v="0"/>
    <m/>
  </r>
  <r>
    <s v="NESTLE PURINA"/>
    <x v="0"/>
    <x v="0"/>
    <s v="JUMBO"/>
    <n v="424858"/>
    <x v="0"/>
    <s v="CE - LO PRIMERO QUE OFRECE EL ASESOR ES LA MARCA PRO PLAN? (ENFOQUE EN GATOS)"/>
    <s v="SI"/>
    <m/>
    <n v="30182843"/>
    <s v="NestleP.1"/>
    <x v="0"/>
    <x v="2"/>
    <n v="3"/>
    <s v="SI"/>
    <n v="3"/>
    <n v="0"/>
    <m/>
  </r>
  <r>
    <s v="NESTLE PURINA"/>
    <x v="0"/>
    <x v="0"/>
    <s v="JUMBO"/>
    <n v="424858"/>
    <x v="0"/>
    <s v="¿CUMPLE HORARIO DE ENTRADA O SALIDA DE LA TIENDA?"/>
    <s v="SI"/>
    <m/>
    <n v="30182843"/>
    <s v="NestleP.1"/>
    <x v="0"/>
    <x v="5"/>
    <n v="20"/>
    <s v="SI"/>
    <n v="20"/>
    <n v="0"/>
    <m/>
  </r>
  <r>
    <s v="NESTLE PURINA"/>
    <x v="0"/>
    <x v="0"/>
    <s v="JUMBO"/>
    <n v="424858"/>
    <x v="0"/>
    <s v="CUENTA CON PANTALON DEL UNIFORME SEGÚN EL CARGO (NEGRO / ROJO / TURQUESA / JEAN)"/>
    <s v="SI"/>
    <m/>
    <n v="30182843"/>
    <s v="NestleP.1"/>
    <x v="0"/>
    <x v="3"/>
    <n v="1.5"/>
    <s v="SI"/>
    <n v="1.5"/>
    <n v="0"/>
    <m/>
  </r>
  <r>
    <s v="NESTLE PURINA"/>
    <x v="0"/>
    <x v="0"/>
    <s v="JUMBO"/>
    <n v="424858"/>
    <x v="0"/>
    <s v="CUENTA CON CAMISA DEL UNIFORME Y LOGOS SEGÚN EL CARGO (NEGRA / GRIS / ROJA / TURQUESA) (Es permitido usar debajo de la camisa buso manga larga Negro)"/>
    <s v="SI"/>
    <m/>
    <n v="30182843"/>
    <s v="NestleP.1"/>
    <x v="0"/>
    <x v="3"/>
    <n v="1.5"/>
    <s v="SI"/>
    <n v="1.5"/>
    <n v="0"/>
    <m/>
  </r>
  <r>
    <s v="NESTLE PURINA"/>
    <x v="0"/>
    <x v="0"/>
    <s v="JUMBO"/>
    <n v="424858"/>
    <x v="0"/>
    <s v="CUENTA CON CALZADO DE ACUERDO AL UNIFORME"/>
    <s v="SI"/>
    <m/>
    <n v="30182843"/>
    <s v="NestleP.1"/>
    <x v="0"/>
    <x v="3"/>
    <n v="1.5"/>
    <s v="SI"/>
    <n v="1.5"/>
    <n v="0"/>
    <m/>
  </r>
  <r>
    <s v="NESTLE PURINA"/>
    <x v="0"/>
    <x v="0"/>
    <s v="JUMBO"/>
    <n v="424858"/>
    <x v="0"/>
    <s v="POSEE ALGUNA PRENDA ENCIMA DEL UNIFORME NO AUTORIZADA POR LA MARCA (Unicamente esta permitido chaleco de Sodimac y Easy)"/>
    <s v="NO"/>
    <m/>
    <n v="30182843"/>
    <s v="NestleP.1"/>
    <x v="0"/>
    <x v="3"/>
    <n v="1.5"/>
    <s v="NO"/>
    <n v="1.5"/>
    <n v="0"/>
    <m/>
  </r>
  <r>
    <s v="NESTLE PURINA"/>
    <x v="0"/>
    <x v="0"/>
    <s v="JUMBO"/>
    <n v="424858"/>
    <x v="0"/>
    <s v="EL UNIFORME Y ZAPATOS SE ENCUENTRAN LIMPIOS Y EN BUEN ESTADO"/>
    <s v="SI"/>
    <m/>
    <n v="30182843"/>
    <s v="NestleP.1"/>
    <x v="0"/>
    <x v="3"/>
    <n v="1.5"/>
    <s v="SI"/>
    <n v="1.5"/>
    <n v="0"/>
    <m/>
  </r>
  <r>
    <s v="NESTLE PURINA"/>
    <x v="0"/>
    <x v="0"/>
    <s v="JUMBO"/>
    <n v="424858"/>
    <x v="0"/>
    <s v="SU CABELLO LUCE LIMPIO, ORGANIZADO O RECOGIDO"/>
    <s v="SI"/>
    <m/>
    <n v="30182843"/>
    <s v="NestleP.1"/>
    <x v="0"/>
    <x v="3"/>
    <n v="1.5"/>
    <s v="SI"/>
    <n v="1.5"/>
    <n v="0"/>
    <m/>
  </r>
  <r>
    <s v="NESTLE PURINA"/>
    <x v="0"/>
    <x v="0"/>
    <s v="JUMBO"/>
    <n v="424858"/>
    <x v="0"/>
    <s v="PRESENTA EXCESO DE MAQUILLAJE QUE NO CUMPLE CON EL CODIGO DE VESTIMENTA"/>
    <s v="NO"/>
    <m/>
    <n v="30182843"/>
    <s v="NestleP.1"/>
    <x v="0"/>
    <x v="3"/>
    <n v="1.5"/>
    <s v="NO"/>
    <n v="1.5"/>
    <n v="0"/>
    <m/>
  </r>
  <r>
    <s v="NESTLE PURINA"/>
    <x v="0"/>
    <x v="0"/>
    <s v="JUMBO"/>
    <n v="424858"/>
    <x v="0"/>
    <s v="TIENE TATUAJES O PIERCINGS VISIBLES QUE NO CUMPLE CON EL CODIGO DE VESTIMENTA"/>
    <s v="NO"/>
    <m/>
    <n v="30182843"/>
    <s v="NestleP.1"/>
    <x v="0"/>
    <x v="3"/>
    <n v="1.5"/>
    <s v="NO"/>
    <n v="1.5"/>
    <n v="0"/>
    <m/>
  </r>
  <r>
    <s v="NESTLE PURINA"/>
    <x v="0"/>
    <x v="0"/>
    <s v="JUMBO"/>
    <n v="424858"/>
    <x v="0"/>
    <s v="TIENE UÑAS LLAMATIVAS Y/O LARGAS QUE NO CUMPLE CON EL CODIGO DE VESTIMENTA"/>
    <s v="NO"/>
    <m/>
    <n v="30182843"/>
    <s v="NestleP.1"/>
    <x v="0"/>
    <x v="3"/>
    <n v="1.5"/>
    <s v="NO"/>
    <n v="1.5"/>
    <n v="0"/>
    <m/>
  </r>
  <r>
    <s v="NESTLE PURINA"/>
    <x v="0"/>
    <x v="0"/>
    <s v="JUMBO"/>
    <n v="424858"/>
    <x v="0"/>
    <s v="USA ACCESORIOS QUE NO CUMPLE CON EL CODIGO DE VESTIMENTA"/>
    <s v="NO"/>
    <m/>
    <n v="30182843"/>
    <s v="NestleP.1"/>
    <x v="0"/>
    <x v="3"/>
    <n v="1.5"/>
    <s v="NO"/>
    <n v="1.5"/>
    <n v="0"/>
    <m/>
  </r>
  <r>
    <s v="NESTLE PURINA"/>
    <x v="0"/>
    <x v="0"/>
    <s v="JUMBO"/>
    <n v="424858"/>
    <x v="0"/>
    <s v="SE PRODUCE ABORDAJE PROACTIVO (antes de 1 min)"/>
    <s v="SI"/>
    <m/>
    <n v="30182843"/>
    <s v="NestleP.1"/>
    <x v="0"/>
    <x v="1"/>
    <n v="20"/>
    <s v="SI"/>
    <n v="20"/>
    <n v="0"/>
    <m/>
  </r>
  <r>
    <s v="NESTLE PURINA"/>
    <x v="0"/>
    <x v="0"/>
    <s v="JUMBO"/>
    <n v="424858"/>
    <x v="0"/>
    <s v="INDAGA SOBRE LAS NECESIDADES DEL CLIENTE CON RESPECTO A SU CONSUMO HABITUAL &quot; MARCAS COMPETENCIA O PROPIAS&quot; - OBJECIÓN DE PRECIOS."/>
    <s v="SI"/>
    <m/>
    <n v="30182843"/>
    <s v="NestleP.1"/>
    <x v="0"/>
    <x v="2"/>
    <n v="6"/>
    <s v="SI"/>
    <n v="6"/>
    <n v="0"/>
    <m/>
  </r>
  <r>
    <s v="NESTLE PURINA"/>
    <x v="0"/>
    <x v="0"/>
    <s v="JUMBO"/>
    <n v="424858"/>
    <x v="0"/>
    <s v="OFRECE PURINA ONE: (APLICA SOLO EN CANAL MODERNO, CADENAS, SI EL PRODUCTO ESTA EN EL PDV)"/>
    <s v="SI"/>
    <m/>
    <n v="30182843"/>
    <s v="NestleP.1"/>
    <x v="0"/>
    <x v="2"/>
    <n v="6"/>
    <s v="SI"/>
    <n v="6"/>
    <n v="0"/>
    <m/>
  </r>
  <r>
    <s v="NESTLE PURINA"/>
    <x v="0"/>
    <x v="0"/>
    <s v="JUMBO"/>
    <n v="424858"/>
    <x v="0"/>
    <s v="SELECCIONE EL CANAL DEL PDV QUE EVALUA"/>
    <s v="ESPECIALIZADO"/>
    <m/>
    <n v="30182843"/>
    <s v="NestleP.1"/>
    <x v="0"/>
    <x v="0"/>
    <n v="0"/>
    <n v="0"/>
    <n v="0"/>
    <n v="0"/>
    <m/>
  </r>
  <r>
    <s v="NESTLE PURINA"/>
    <x v="2"/>
    <x v="2"/>
    <s v="MERCA Z"/>
    <n v="66552"/>
    <x v="4"/>
    <s v="EL UNIFORME Y ZAPATOS SE ENCUENTRAN LIMPIOS Y EN BUEN ESTADO"/>
    <s v="SI"/>
    <m/>
    <n v="30189338"/>
    <s v="PREMISEUNP 51"/>
    <x v="0"/>
    <x v="3"/>
    <n v="1.5"/>
    <s v="SI"/>
    <n v="1.5"/>
    <n v="0"/>
    <m/>
  </r>
  <r>
    <s v="NESTLE PURINA"/>
    <x v="3"/>
    <x v="0"/>
    <s v="OLIMPICA"/>
    <n v="421609"/>
    <x v="3"/>
    <s v="CONSIDERO QUE INDEPENDIENTEMENTE DEL SPEECH, LA LABOR DE VENTA ES BUENA"/>
    <s v="SI"/>
    <m/>
    <n v="30281524"/>
    <s v="NestleP.5"/>
    <x v="0"/>
    <x v="4"/>
    <n v="3.75"/>
    <s v="SI"/>
    <n v="3.75"/>
    <n v="0"/>
    <m/>
  </r>
  <r>
    <s v="NESTLE PURINA"/>
    <x v="2"/>
    <x v="2"/>
    <s v="MERCA Z"/>
    <n v="66552"/>
    <x v="4"/>
    <s v="SU CABELLO LUCE LIMPIO, ORGANIZADO O RECOGIDO"/>
    <s v="SI"/>
    <m/>
    <n v="30189338"/>
    <s v="PREMISEUNP 51"/>
    <x v="0"/>
    <x v="3"/>
    <n v="1.5"/>
    <s v="SI"/>
    <n v="1.5"/>
    <n v="0"/>
    <m/>
  </r>
  <r>
    <s v="NESTLE PURINA"/>
    <x v="2"/>
    <x v="2"/>
    <s v="MERCA Z"/>
    <n v="66552"/>
    <x v="4"/>
    <s v="TIENE TATUAJES O PIERCINGS VISIBLES QUE NO CUMPLE CON EL CODIGO DE VESTIMENTA"/>
    <s v="NO"/>
    <m/>
    <n v="30189338"/>
    <s v="PREMISEUNP 51"/>
    <x v="0"/>
    <x v="3"/>
    <n v="1.5"/>
    <s v="NO"/>
    <n v="1.5"/>
    <n v="0"/>
    <m/>
  </r>
  <r>
    <s v="NESTLE PURINA"/>
    <x v="2"/>
    <x v="0"/>
    <s v="MERCA Z"/>
    <n v="424808"/>
    <x v="2"/>
    <s v="CUENTA CON CALZADO DE ACUERDO AL UNIFORME"/>
    <s v="SI"/>
    <m/>
    <n v="30231329"/>
    <s v="PREMISEUNP 51"/>
    <x v="0"/>
    <x v="3"/>
    <n v="1.5"/>
    <s v="SI"/>
    <n v="1.5"/>
    <n v="0"/>
    <m/>
  </r>
  <r>
    <s v="NESTLE PURINA"/>
    <x v="2"/>
    <x v="0"/>
    <s v="MERCA Z"/>
    <n v="424808"/>
    <x v="2"/>
    <s v="POSEE ALGUNA PRENDA ENCIMA DEL UNIFORME NO AUTORIZADA POR LA MARCA (Unicamente esta permitido chaleco de Sodimac y Easy)"/>
    <s v="NO"/>
    <m/>
    <n v="30231329"/>
    <s v="PREMISEUNP 51"/>
    <x v="0"/>
    <x v="3"/>
    <n v="1.5"/>
    <s v="NO"/>
    <n v="1.5"/>
    <n v="0"/>
    <m/>
  </r>
  <r>
    <s v="NESTLE PURINA"/>
    <x v="2"/>
    <x v="0"/>
    <s v="MERCA Z"/>
    <n v="424808"/>
    <x v="2"/>
    <s v="EL UNIFORME Y ZAPATOS SE ENCUENTRAN LIMPIOS Y EN BUEN ESTADO"/>
    <s v="SI"/>
    <m/>
    <n v="30231329"/>
    <s v="PREMISEUNP 51"/>
    <x v="0"/>
    <x v="3"/>
    <n v="1.5"/>
    <s v="SI"/>
    <n v="1.5"/>
    <n v="0"/>
    <m/>
  </r>
  <r>
    <s v="NESTLE PURINA"/>
    <x v="2"/>
    <x v="0"/>
    <s v="MERCA Z"/>
    <n v="424808"/>
    <x v="2"/>
    <s v="SU CABELLO LUCE LIMPIO, ORGANIZADO O RECOGIDO"/>
    <s v="SI"/>
    <m/>
    <n v="30231329"/>
    <s v="PREMISEUNP 51"/>
    <x v="0"/>
    <x v="3"/>
    <n v="1.5"/>
    <s v="SI"/>
    <n v="1.5"/>
    <n v="0"/>
    <m/>
  </r>
  <r>
    <s v="NESTLE PURINA"/>
    <x v="2"/>
    <x v="0"/>
    <s v="MERCA Z"/>
    <n v="424808"/>
    <x v="2"/>
    <s v="PRESENTA EXCESO DE MAQUILLAJE QUE NO CUMPLE CON EL CODIGO DE VESTIMENTA"/>
    <s v="NO"/>
    <m/>
    <n v="30231329"/>
    <s v="PREMISEUNP 51"/>
    <x v="0"/>
    <x v="3"/>
    <n v="1.5"/>
    <s v="NO"/>
    <n v="1.5"/>
    <n v="0"/>
    <m/>
  </r>
  <r>
    <s v="NESTLE PURINA"/>
    <x v="2"/>
    <x v="0"/>
    <s v="MERCA Z"/>
    <n v="424808"/>
    <x v="2"/>
    <s v="TIENE TATUAJES O PIERCINGS VISIBLES QUE NO CUMPLE CON EL CODIGO DE VESTIMENTA"/>
    <s v="NO"/>
    <m/>
    <n v="30231329"/>
    <s v="PREMISEUNP 51"/>
    <x v="0"/>
    <x v="3"/>
    <n v="1.5"/>
    <s v="NO"/>
    <n v="1.5"/>
    <n v="0"/>
    <m/>
  </r>
  <r>
    <s v="NESTLE PURINA"/>
    <x v="2"/>
    <x v="0"/>
    <s v="MERCA Z"/>
    <n v="424808"/>
    <x v="2"/>
    <s v="CUENTA CON CAMISA DEL UNIFORME Y LOGOS SEGÚN EL CARGO (NEGRA / GRIS / ROJA / TURQUESA) (Es permitido usar debajo de la camisa buso manga larga Negro)"/>
    <s v="SI"/>
    <m/>
    <n v="30231329"/>
    <s v="PREMISEUNP 51"/>
    <x v="0"/>
    <x v="3"/>
    <n v="1.5"/>
    <s v="SI"/>
    <n v="1.5"/>
    <n v="0"/>
    <m/>
  </r>
  <r>
    <s v="NESTLE PURINA"/>
    <x v="2"/>
    <x v="0"/>
    <s v="MERCA Z"/>
    <n v="424808"/>
    <x v="2"/>
    <s v="TIENE UÑAS LLAMATIVAS Y/O LARGAS QUE NO CUMPLE CON EL CODIGO DE VESTIMENTA"/>
    <s v="NO"/>
    <m/>
    <n v="30231329"/>
    <s v="PREMISEUNP 51"/>
    <x v="0"/>
    <x v="3"/>
    <n v="1.5"/>
    <s v="NO"/>
    <n v="1.5"/>
    <n v="0"/>
    <m/>
  </r>
  <r>
    <s v="NESTLE PURINA"/>
    <x v="2"/>
    <x v="0"/>
    <s v="MERCA Z"/>
    <n v="424808"/>
    <x v="2"/>
    <s v="SE PRODUCE ABORDAJE PROACTIVO (antes de 1 min)"/>
    <s v="SI"/>
    <m/>
    <n v="30231329"/>
    <s v="PREMISEUNP 51"/>
    <x v="0"/>
    <x v="1"/>
    <n v="20"/>
    <s v="SI"/>
    <n v="20"/>
    <n v="0"/>
    <m/>
  </r>
  <r>
    <s v="NESTLE PURINA"/>
    <x v="2"/>
    <x v="0"/>
    <s v="MERCA Z"/>
    <n v="424808"/>
    <x v="2"/>
    <s v="INDAGA SOBRE LAS NECESIDADES DEL CLIENTE CON RESPECTO A SU CONSUMO HABITUAL &quot; MARCAS COMPETENCIA O PROPIAS&quot; - OBJECIÓN DE PRECIOS."/>
    <s v="SI"/>
    <m/>
    <n v="30231329"/>
    <s v="PREMISEUNP 51"/>
    <x v="0"/>
    <x v="2"/>
    <n v="6"/>
    <s v="SI"/>
    <n v="6"/>
    <n v="0"/>
    <m/>
  </r>
  <r>
    <s v="NESTLE PURINA"/>
    <x v="2"/>
    <x v="0"/>
    <s v="MERCA Z"/>
    <n v="424808"/>
    <x v="2"/>
    <s v="OFRECE PURINA ONE: (APLICA SOLO EN CANAL MODERNO, CADENAS, SI EL PRODUCTO ESTA EN EL PDV)"/>
    <s v="SI"/>
    <m/>
    <n v="30231329"/>
    <s v="PREMISEUNP 51"/>
    <x v="0"/>
    <x v="2"/>
    <n v="6"/>
    <s v="SI"/>
    <n v="6"/>
    <n v="0"/>
    <m/>
  </r>
  <r>
    <s v="NESTLE PURINA"/>
    <x v="2"/>
    <x v="0"/>
    <s v="MERCA Z"/>
    <n v="424808"/>
    <x v="2"/>
    <s v="SELECCIONE EL CANAL DEL PDV QUE EVALUA"/>
    <s v="ESPECIALIZADO"/>
    <m/>
    <n v="30231329"/>
    <s v="PREMISEUNP 51"/>
    <x v="0"/>
    <x v="0"/>
    <n v="0"/>
    <n v="0"/>
    <n v="0"/>
    <n v="0"/>
    <m/>
  </r>
  <r>
    <s v="NESTLE PURINA"/>
    <x v="2"/>
    <x v="0"/>
    <s v="MERCA Z"/>
    <n v="424808"/>
    <x v="2"/>
    <s v="CE - LO PRIMERO QUE OFRECE EL ASESOR ES LA MARCA PRO PLAN? (ENFOQUE EN GATOS)"/>
    <s v="SI"/>
    <m/>
    <n v="30231329"/>
    <s v="PREMISEUNP 51"/>
    <x v="0"/>
    <x v="2"/>
    <n v="3"/>
    <s v="SI"/>
    <n v="3"/>
    <n v="0"/>
    <m/>
  </r>
  <r>
    <s v="NESTLE PURINA"/>
    <x v="2"/>
    <x v="0"/>
    <s v="MERCA Z"/>
    <n v="424808"/>
    <x v="2"/>
    <s v="CE - EL ASESOR COMUNICA LOS BENEFICIOS Y CARACTERISTICAS DE LA MARCA PRO PLAN? (ENFOQUE EN GATOS)"/>
    <s v="SI"/>
    <m/>
    <n v="30231329"/>
    <s v="PREMISEUNP 51"/>
    <x v="0"/>
    <x v="2"/>
    <n v="3"/>
    <s v="SI"/>
    <n v="3"/>
    <n v="0"/>
    <m/>
  </r>
  <r>
    <s v="NESTLE PURINA"/>
    <x v="2"/>
    <x v="0"/>
    <s v="MERCA Z"/>
    <n v="424808"/>
    <x v="2"/>
    <s v="USA ACCESORIOS QUE NO CUMPLE CON EL CODIGO DE VESTIMENTA"/>
    <s v="NO"/>
    <m/>
    <n v="30231329"/>
    <s v="PREMISEUNP 51"/>
    <x v="0"/>
    <x v="3"/>
    <n v="1.5"/>
    <s v="NO"/>
    <n v="1.5"/>
    <n v="0"/>
    <m/>
  </r>
  <r>
    <s v="NESTLE PURINA"/>
    <x v="2"/>
    <x v="0"/>
    <s v="MERCA Z"/>
    <n v="424808"/>
    <x v="2"/>
    <s v="CUENTA CON PANTALON DEL UNIFORME SEGÚN EL CARGO (NEGRO / ROJO / TURQUESA / JEAN)"/>
    <s v="SI"/>
    <m/>
    <n v="30231329"/>
    <s v="PREMISEUNP 51"/>
    <x v="0"/>
    <x v="3"/>
    <n v="1.5"/>
    <s v="SI"/>
    <n v="1.5"/>
    <n v="0"/>
    <m/>
  </r>
  <r>
    <s v="NESTLE PURINA"/>
    <x v="2"/>
    <x v="0"/>
    <s v="MERCA Z"/>
    <n v="424808"/>
    <x v="2"/>
    <s v="¿CUMPLE HORARIO DE ENTRADA O SALIDA DE LA TIENDA?"/>
    <s v="SI"/>
    <m/>
    <n v="30231329"/>
    <s v="PREMISEUNP 51"/>
    <x v="0"/>
    <x v="5"/>
    <n v="20"/>
    <s v="SI"/>
    <n v="20"/>
    <n v="0"/>
    <m/>
  </r>
  <r>
    <s v="NESTLE PURINA"/>
    <x v="2"/>
    <x v="0"/>
    <s v="MERCA Z"/>
    <n v="424808"/>
    <x v="2"/>
    <s v="SE LOGRA REALIZAR EL MYSTERY?"/>
    <s v="SI"/>
    <m/>
    <n v="30231329"/>
    <s v="PREMISEUNP 51"/>
    <x v="0"/>
    <x v="0"/>
    <n v="0"/>
    <n v="0"/>
    <n v="0"/>
    <n v="0"/>
    <m/>
  </r>
  <r>
    <s v="NESTLE PURINA"/>
    <x v="2"/>
    <x v="2"/>
    <s v="MERCA Z"/>
    <n v="66552"/>
    <x v="4"/>
    <s v="TIENE UÑAS LLAMATIVAS Y/O LARGAS QUE NO CUMPLE CON EL CODIGO DE VESTIMENTA"/>
    <s v="NO"/>
    <m/>
    <n v="30189338"/>
    <s v="PREMISEUNP 51"/>
    <x v="0"/>
    <x v="3"/>
    <n v="1.5"/>
    <s v="NO"/>
    <n v="1.5"/>
    <n v="0"/>
    <m/>
  </r>
  <r>
    <s v="NESTLE PURINA"/>
    <x v="2"/>
    <x v="2"/>
    <s v="MERCA Z"/>
    <n v="66552"/>
    <x v="4"/>
    <s v="USA ACCESORIOS QUE NO CUMPLE CON EL CODIGO DE VESTIMENTA"/>
    <s v="NO"/>
    <m/>
    <n v="30189338"/>
    <s v="PREMISEUNP 51"/>
    <x v="0"/>
    <x v="3"/>
    <n v="1.5"/>
    <s v="NO"/>
    <n v="1.5"/>
    <n v="0"/>
    <m/>
  </r>
  <r>
    <s v="NESTLE PURINA"/>
    <x v="2"/>
    <x v="2"/>
    <s v="MERCA Z"/>
    <n v="66552"/>
    <x v="4"/>
    <s v="SE PRODUCE ABORDAJE PROACTIVO (antes de 1 min)"/>
    <s v="SI"/>
    <m/>
    <n v="30189338"/>
    <s v="PREMISEUNP 51"/>
    <x v="0"/>
    <x v="1"/>
    <n v="20"/>
    <s v="SI"/>
    <n v="20"/>
    <n v="0"/>
    <m/>
  </r>
  <r>
    <s v="NESTLE PURINA"/>
    <x v="2"/>
    <x v="2"/>
    <s v="MERCA Z"/>
    <n v="66552"/>
    <x v="4"/>
    <s v="INDAGA SOBRE LAS NECESIDADES DEL CLIENTE CON RESPECTO A SU CONSUMO HABITUAL &quot; MARCAS COMPETENCIA O PROPIAS&quot; - OBJECIÓN DE PRECIOS."/>
    <s v="SI"/>
    <m/>
    <n v="30189338"/>
    <s v="PREMISEUNP 51"/>
    <x v="0"/>
    <x v="2"/>
    <n v="6"/>
    <s v="SI"/>
    <n v="6"/>
    <n v="0"/>
    <m/>
  </r>
  <r>
    <s v="NESTLE PURINA"/>
    <x v="2"/>
    <x v="2"/>
    <s v="MERCA Z"/>
    <n v="66552"/>
    <x v="4"/>
    <s v="OFRECE PURINA ONE: (APLICA SOLO EN CANAL MODERNO, CADENAS, SI EL PRODUCTO ESTA EN EL PDV)"/>
    <s v="SI"/>
    <m/>
    <n v="30189338"/>
    <s v="PREMISEUNP 51"/>
    <x v="0"/>
    <x v="2"/>
    <n v="6"/>
    <s v="SI"/>
    <n v="6"/>
    <n v="0"/>
    <m/>
  </r>
  <r>
    <s v="NESTLE PURINA"/>
    <x v="2"/>
    <x v="2"/>
    <s v="MERCA Z"/>
    <n v="66552"/>
    <x v="4"/>
    <s v="SELECCIONE EL CANAL DEL PDV QUE EVALUA"/>
    <s v="TRADICIONAL"/>
    <m/>
    <n v="30189338"/>
    <s v="PREMISEUNP 51"/>
    <x v="0"/>
    <x v="0"/>
    <n v="0"/>
    <n v="0"/>
    <n v="0"/>
    <n v="0"/>
    <m/>
  </r>
  <r>
    <s v="NESTLE PURINA"/>
    <x v="2"/>
    <x v="2"/>
    <s v="MERCA Z"/>
    <n v="66552"/>
    <x v="4"/>
    <s v="CT - OFRECIO ALGUN PRODUCTO DEL PORTAFOLIO PURINA DE PRODUCTOS SECOS COMUNICANDO LOS BENEFICIOS DEL PRODUCTO (DOG CHOW, CAT CHOW, ALPO, GATSY, FELIX O NINGUNO)"/>
    <s v="SI"/>
    <m/>
    <n v="30189338"/>
    <s v="PREMISEUNP 51"/>
    <x v="0"/>
    <x v="2"/>
    <n v="6"/>
    <s v="SI"/>
    <n v="6"/>
    <n v="0"/>
    <m/>
  </r>
  <r>
    <s v="NESTLE PURINA"/>
    <x v="2"/>
    <x v="2"/>
    <s v="MERCA Z"/>
    <n v="66552"/>
    <x v="4"/>
    <s v="CT - OFRECIO ALGUN PRODUCTO PORTAFOLIO PURINA DE PRODUCTOS HUMEDOS COMUNICANDO LOS BENEFICIOS DEL PRODUCTO (Dog chow húmedo, Cat chow húmedo, Fancy Feast, Felix, Proplan Húmedo, One Húmedo, Snacks (Abrazzos, Dentalife), Arenilla (Tidy Cat)"/>
    <s v="NO"/>
    <m/>
    <n v="30189338"/>
    <s v="PREMISEUNP 51"/>
    <x v="0"/>
    <x v="2"/>
    <n v="6"/>
    <s v="SI"/>
    <n v="0"/>
    <n v="0"/>
    <m/>
  </r>
  <r>
    <s v="NESTLE PURINA"/>
    <x v="2"/>
    <x v="2"/>
    <s v="MERCA Z"/>
    <n v="66552"/>
    <x v="4"/>
    <s v="CT - MENCIONA ALGUNA DE LAS INNOVACIONES QUE TENEMOS EN EL CANAL (CAT 200GR FELIX TRIPLE DELI Y MEGA MIX DE WET Y DOG CHOW ALTA PROTEINA DE 350GR 475GR )"/>
    <s v="SI"/>
    <m/>
    <n v="30189338"/>
    <s v="PREMISEUNP 51"/>
    <x v="0"/>
    <x v="2"/>
    <n v="6"/>
    <s v="SI"/>
    <n v="6"/>
    <n v="0"/>
    <m/>
  </r>
  <r>
    <s v="NESTLE PURINA"/>
    <x v="2"/>
    <x v="2"/>
    <s v="MERCA Z"/>
    <n v="66552"/>
    <x v="4"/>
    <s v="INDIQUE QUE TIPO DE OBJECION / DUDA MANIFESTÓ"/>
    <s v=" NO LE INTERESA EL PRODUCTO"/>
    <m/>
    <n v="30189338"/>
    <s v="PREMISEUNP 51"/>
    <x v="0"/>
    <x v="0"/>
    <n v="0"/>
    <n v="0"/>
    <n v="0"/>
    <n v="0"/>
    <m/>
  </r>
  <r>
    <s v="NESTLE PURINA"/>
    <x v="2"/>
    <x v="2"/>
    <s v="MERCA Z"/>
    <n v="66552"/>
    <x v="4"/>
    <s v="RESUELVE LA OBJECION SATISFACTORIAMENTE?"/>
    <s v="SI"/>
    <m/>
    <n v="30189338"/>
    <s v="PREMISEUNP 51"/>
    <x v="0"/>
    <x v="4"/>
    <n v="3.75"/>
    <s v="SI"/>
    <n v="3.75"/>
    <n v="0"/>
    <m/>
  </r>
  <r>
    <s v="NESTLE PURINA"/>
    <x v="2"/>
    <x v="2"/>
    <s v="MERCA Z"/>
    <n v="66552"/>
    <x v="4"/>
    <s v="SE ENCUENTRA LIMPIA EL AREA DE DEMOSTRACION &quot;REVISION DE PRODUCTO SIN POLVO Y EN OPTIMAS CONDICIONES&quot;"/>
    <s v="SI"/>
    <m/>
    <n v="30189338"/>
    <s v="PREMISEUNP 51"/>
    <x v="0"/>
    <x v="4"/>
    <n v="3.75"/>
    <s v="SI"/>
    <n v="3.75"/>
    <n v="0"/>
    <m/>
  </r>
  <r>
    <s v="NESTLE PURINA"/>
    <x v="2"/>
    <x v="2"/>
    <s v="MERCA Z"/>
    <n v="66552"/>
    <x v="4"/>
    <s v="REALIZA CIERRE DE VENTA"/>
    <s v="SI"/>
    <m/>
    <n v="30189338"/>
    <s v="PREMISEUNP 51"/>
    <x v="0"/>
    <x v="4"/>
    <n v="3.75"/>
    <s v="SI"/>
    <n v="3.75"/>
    <n v="0"/>
    <m/>
  </r>
  <r>
    <s v="NESTLE PURINA"/>
    <x v="2"/>
    <x v="2"/>
    <s v="MERCA Z"/>
    <n v="66552"/>
    <x v="4"/>
    <s v="CONSIDERO QUE INDEPENDIENTEMENTE DEL SPEECH, LA LABOR DE VENTA ES BUENA"/>
    <s v="SI"/>
    <m/>
    <n v="30189338"/>
    <s v="PREMISEUNP 51"/>
    <x v="0"/>
    <x v="4"/>
    <n v="3.75"/>
    <s v="SI"/>
    <n v="3.75"/>
    <n v="0"/>
    <m/>
  </r>
  <r>
    <s v="NESTLE PURINA"/>
    <x v="2"/>
    <x v="2"/>
    <s v="MERCA Z"/>
    <n v="66552"/>
    <x v="4"/>
    <s v="DESEA AÑADIR ALGUNA OBSERVACION Y/O NOVEDAD DEL MYSTERY REALIZADO?"/>
    <s v="NO"/>
    <m/>
    <n v="30189338"/>
    <s v="PREMISEUNP 51"/>
    <x v="0"/>
    <x v="0"/>
    <n v="0"/>
    <n v="0"/>
    <n v="0"/>
    <n v="0"/>
    <m/>
  </r>
  <r>
    <s v="NESTLE PURINA"/>
    <x v="2"/>
    <x v="2"/>
    <s v="MERCA Z"/>
    <n v="66552"/>
    <x v="4"/>
    <s v="PRESENTA EXCESO DE MAQUILLAJE QUE NO CUMPLE CON EL CODIGO DE VESTIMENTA"/>
    <s v="NO"/>
    <m/>
    <n v="30189338"/>
    <s v="PREMISEUNP 51"/>
    <x v="0"/>
    <x v="3"/>
    <n v="1.5"/>
    <s v="NO"/>
    <n v="1.5"/>
    <n v="0"/>
    <m/>
  </r>
  <r>
    <s v="NESTLE PURINA"/>
    <x v="3"/>
    <x v="0"/>
    <s v="OLIMPICA"/>
    <n v="421609"/>
    <x v="3"/>
    <s v="DESEA AÑADIR ALGUNA OBSERVACION Y/O NOVEDAD DEL MYSTERY REALIZADO?"/>
    <s v="NO"/>
    <m/>
    <n v="30281524"/>
    <s v="NestleP.5"/>
    <x v="0"/>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9" firstHeaderRow="0" firstDataRow="1" firstDataCol="1"/>
  <pivotFields count="11">
    <pivotField showAll="0"/>
    <pivotField axis="axisRow" showAll="0" sortType="descending">
      <items count="17">
        <item x="0"/>
        <item x="1"/>
        <item x="2"/>
        <item x="3"/>
        <item m="1" x="9"/>
        <item m="1" x="6"/>
        <item m="1" x="5"/>
        <item m="1" x="15"/>
        <item m="1" x="14"/>
        <item m="1" x="12"/>
        <item m="1" x="13"/>
        <item m="1" x="10"/>
        <item m="1" x="11"/>
        <item m="1" x="7"/>
        <item m="1" x="8"/>
        <item m="1" x="4"/>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5">
    <i>
      <x v="3"/>
    </i>
    <i>
      <x v="2"/>
    </i>
    <i>
      <x/>
    </i>
    <i>
      <x v="1"/>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449">
      <pivotArea outline="0" collapsedLevelsAreSubtotals="1" fieldPosition="0">
        <references count="1">
          <reference field="4294967294" count="1" selected="0">
            <x v="2"/>
          </reference>
        </references>
      </pivotArea>
    </format>
    <format dxfId="448">
      <pivotArea outline="0" collapsedLevelsAreSubtotals="1" fieldPosition="0"/>
    </format>
    <format dxfId="447">
      <pivotArea dataOnly="0" labelOnly="1" outline="0" fieldPosition="0">
        <references count="1">
          <reference field="4294967294" count="3">
            <x v="0"/>
            <x v="1"/>
            <x v="2"/>
          </reference>
        </references>
      </pivotArea>
    </format>
    <format dxfId="446">
      <pivotArea outline="0" collapsedLevelsAreSubtotals="1" fieldPosition="0"/>
    </format>
    <format dxfId="445">
      <pivotArea dataOnly="0" labelOnly="1" outline="0" fieldPosition="0">
        <references count="1">
          <reference field="4294967294" count="3">
            <x v="0"/>
            <x v="1"/>
            <x v="2"/>
          </reference>
        </references>
      </pivotArea>
    </format>
    <format dxfId="444">
      <pivotArea dataOnly="0" labelOnly="1" outline="0" fieldPosition="0">
        <references count="1">
          <reference field="4294967294" count="1">
            <x v="2"/>
          </reference>
        </references>
      </pivotArea>
    </format>
    <format dxfId="443">
      <pivotArea field="1" grandRow="1" outline="0" collapsedLevelsAreSubtotals="1" axis="axisRow" fieldPosition="0">
        <references count="1">
          <reference field="4294967294" count="1" selected="0">
            <x v="2"/>
          </reference>
        </references>
      </pivotArea>
    </format>
    <format dxfId="442">
      <pivotArea dataOnly="0" labelOnly="1" outline="0" fieldPosition="0">
        <references count="1">
          <reference field="4294967294" count="1">
            <x v="2"/>
          </reference>
        </references>
      </pivotArea>
    </format>
    <format dxfId="441">
      <pivotArea outline="0" collapsedLevelsAreSubtotals="1" fieldPosition="0">
        <references count="1">
          <reference field="4294967294" count="1" selected="0">
            <x v="5"/>
          </reference>
        </references>
      </pivotArea>
    </format>
    <format dxfId="440">
      <pivotArea dataOnly="0" labelOnly="1" outline="0" fieldPosition="0">
        <references count="1">
          <reference field="4294967294" count="1">
            <x v="5"/>
          </reference>
        </references>
      </pivotArea>
    </format>
    <format dxfId="439">
      <pivotArea outline="0" collapsedLevelsAreSubtotals="1" fieldPosition="0">
        <references count="1">
          <reference field="4294967294" count="3" selected="0">
            <x v="3"/>
            <x v="4"/>
            <x v="5"/>
          </reference>
        </references>
      </pivotArea>
    </format>
    <format dxfId="438">
      <pivotArea dataOnly="0" labelOnly="1" outline="0" fieldPosition="0">
        <references count="1">
          <reference field="4294967294" count="3">
            <x v="3"/>
            <x v="4"/>
            <x v="5"/>
          </reference>
        </references>
      </pivotArea>
    </format>
    <format dxfId="437">
      <pivotArea outline="0" collapsedLevelsAreSubtotals="1" fieldPosition="0">
        <references count="1">
          <reference field="4294967294" count="3" selected="0">
            <x v="3"/>
            <x v="4"/>
            <x v="5"/>
          </reference>
        </references>
      </pivotArea>
    </format>
    <format dxfId="436">
      <pivotArea dataOnly="0" labelOnly="1" outline="0" fieldPosition="0">
        <references count="1">
          <reference field="4294967294" count="3">
            <x v="3"/>
            <x v="4"/>
            <x v="5"/>
          </reference>
        </references>
      </pivotArea>
    </format>
    <format dxfId="435">
      <pivotArea field="1" grandRow="1" outline="0" collapsedLevelsAreSubtotals="1" axis="axisRow" fieldPosition="0">
        <references count="1">
          <reference field="4294967294" count="2" selected="0">
            <x v="0"/>
            <x v="1"/>
          </reference>
        </references>
      </pivotArea>
    </format>
    <format dxfId="434">
      <pivotArea field="1" grandRow="1" outline="0" collapsedLevelsAreSubtotals="1" axis="axisRow" fieldPosition="0">
        <references count="1">
          <reference field="4294967294" count="3" selected="0">
            <x v="3"/>
            <x v="4"/>
            <x v="5"/>
          </reference>
        </references>
      </pivotArea>
    </format>
    <format dxfId="433">
      <pivotArea field="1" grandRow="1" outline="0" collapsedLevelsAreSubtotals="1" axis="axisRow" fieldPosition="0">
        <references count="1">
          <reference field="4294967294" count="3" selected="0">
            <x v="3"/>
            <x v="4"/>
            <x v="5"/>
          </reference>
        </references>
      </pivotArea>
    </format>
    <format dxfId="432">
      <pivotArea field="1" grandRow="1" outline="0" collapsedLevelsAreSubtotals="1" axis="axisRow" fieldPosition="0">
        <references count="1">
          <reference field="4294967294" count="2" selected="0">
            <x v="0"/>
            <x v="1"/>
          </reference>
        </references>
      </pivotArea>
    </format>
    <format dxfId="431">
      <pivotArea field="1" grandRow="1" outline="0" collapsedLevelsAreSubtotals="1" axis="axisRow" fieldPosition="0">
        <references count="1">
          <reference field="4294967294" count="1" selected="0">
            <x v="2"/>
          </reference>
        </references>
      </pivotArea>
    </format>
    <format dxfId="430">
      <pivotArea field="1" grandRow="1" outline="0" collapsedLevelsAreSubtotals="1" axis="axisRow" fieldPosition="0">
        <references count="1">
          <reference field="4294967294" count="1" selected="0">
            <x v="5"/>
          </reference>
        </references>
      </pivotArea>
    </format>
    <format dxfId="429">
      <pivotArea field="1" type="button" dataOnly="0" labelOnly="1" outline="0" axis="axisRow" fieldPosition="0"/>
    </format>
    <format dxfId="428">
      <pivotArea dataOnly="0" labelOnly="1" outline="0" fieldPosition="0">
        <references count="1">
          <reference field="4294967294" count="6">
            <x v="0"/>
            <x v="1"/>
            <x v="2"/>
            <x v="3"/>
            <x v="4"/>
            <x v="5"/>
          </reference>
        </references>
      </pivotArea>
    </format>
    <format dxfId="427">
      <pivotArea dataOnly="0" labelOnly="1" grandRow="1" outline="0" fieldPosition="0"/>
    </format>
    <format dxfId="426">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17"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52"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3">
        <item x="0"/>
        <item x="2"/>
        <item x="1"/>
        <item m="1" x="6"/>
        <item m="1" x="4"/>
        <item x="3"/>
        <item m="1" x="12"/>
        <item m="1" x="11"/>
        <item m="1" x="10"/>
        <item m="1" x="8"/>
        <item m="1" x="9"/>
        <item m="1" x="7"/>
        <item m="1" x="5"/>
      </items>
      <extLst>
        <ext xmlns:x14="http://schemas.microsoft.com/office/spreadsheetml/2009/9/main" uri="{2946ED86-A175-432a-8AC1-64E0C546D7DE}">
          <x14:pivotField fillDownLabels="1"/>
        </ext>
      </extLst>
    </pivotField>
    <pivotField axis="axisRow" compact="0" outline="0" showAll="0" defaultSubtotal="0">
      <items count="4">
        <item m="1" x="3"/>
        <item x="1"/>
        <item x="0"/>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67">
        <item m="1" x="154"/>
        <item m="1" x="160"/>
        <item m="1" x="156"/>
        <item m="1" x="158"/>
        <item m="1" x="110"/>
        <item m="1" x="165"/>
        <item m="1" x="95"/>
        <item m="1" x="162"/>
        <item m="1" x="93"/>
        <item m="1" x="161"/>
        <item m="1" x="159"/>
        <item m="1" x="163"/>
        <item m="1" x="166"/>
        <item m="1" x="164"/>
        <item m="1" x="157"/>
        <item m="1" x="152"/>
        <item m="1" x="155"/>
        <item m="1" x="153"/>
        <item m="1" x="135"/>
        <item m="1" x="92"/>
        <item m="1" x="151"/>
        <item m="1" x="149"/>
        <item m="1" x="150"/>
        <item m="1" x="148"/>
        <item x="4"/>
        <item m="1" x="140"/>
        <item m="1" x="141"/>
        <item m="1" x="142"/>
        <item m="1" x="143"/>
        <item m="1" x="144"/>
        <item m="1" x="145"/>
        <item m="1" x="146"/>
        <item m="1" x="147"/>
        <item m="1" x="136"/>
        <item m="1" x="128"/>
        <item m="1" x="129"/>
        <item m="1" x="130"/>
        <item m="1" x="131"/>
        <item m="1" x="132"/>
        <item m="1" x="137"/>
        <item m="1" x="133"/>
        <item m="1" x="138"/>
        <item m="1" x="139"/>
        <item m="1" x="134"/>
        <item m="1" x="122"/>
        <item m="1" x="61"/>
        <item m="1" x="125"/>
        <item m="1" x="124"/>
        <item m="1" x="127"/>
        <item m="1" x="126"/>
        <item m="1" x="123"/>
        <item m="1" x="117"/>
        <item m="1" x="116"/>
        <item m="1" x="37"/>
        <item m="1" x="31"/>
        <item m="1" x="119"/>
        <item m="1" x="27"/>
        <item m="1" x="115"/>
        <item m="1" x="114"/>
        <item m="1" x="121"/>
        <item m="1" x="80"/>
        <item m="1" x="118"/>
        <item m="1" x="38"/>
        <item m="1" x="5"/>
        <item m="1" x="20"/>
        <item m="1" x="84"/>
        <item m="1" x="120"/>
        <item m="1" x="111"/>
        <item m="1" x="90"/>
        <item m="1" x="112"/>
        <item m="1" x="109"/>
        <item m="1" x="113"/>
        <item m="1" x="104"/>
        <item m="1" x="105"/>
        <item m="1" x="107"/>
        <item m="1" x="106"/>
        <item m="1" x="108"/>
        <item m="1" x="100"/>
        <item m="1" x="94"/>
        <item m="1" x="97"/>
        <item m="1" x="99"/>
        <item m="1" x="102"/>
        <item m="1" x="101"/>
        <item m="1" x="103"/>
        <item m="1" x="98"/>
        <item m="1" x="96"/>
        <item m="1" x="91"/>
        <item m="1" x="76"/>
        <item m="1" x="89"/>
        <item m="1" x="73"/>
        <item m="1" x="82"/>
        <item m="1" x="83"/>
        <item m="1" x="30"/>
        <item m="1" x="85"/>
        <item m="1" x="86"/>
        <item m="1" x="87"/>
        <item m="1" x="88"/>
        <item m="1" x="67"/>
        <item m="1" x="68"/>
        <item m="1" x="69"/>
        <item m="1" x="70"/>
        <item m="1" x="71"/>
        <item m="1" x="32"/>
        <item m="1" x="72"/>
        <item m="1" x="28"/>
        <item m="1" x="9"/>
        <item m="1" x="74"/>
        <item m="1" x="75"/>
        <item m="1" x="77"/>
        <item m="1" x="78"/>
        <item m="1" x="79"/>
        <item m="1" x="81"/>
        <item m="1" x="58"/>
        <item m="1" x="26"/>
        <item m="1" x="59"/>
        <item m="1" x="60"/>
        <item m="1" x="40"/>
        <item m="1" x="62"/>
        <item m="1" x="63"/>
        <item m="1" x="19"/>
        <item m="1" x="39"/>
        <item m="1" x="64"/>
        <item m="1" x="29"/>
        <item m="1" x="65"/>
        <item m="1" x="66"/>
        <item m="1" x="41"/>
        <item m="1" x="42"/>
        <item m="1" x="43"/>
        <item m="1" x="57"/>
        <item m="1" x="46"/>
        <item m="1" x="35"/>
        <item m="1" x="44"/>
        <item m="1" x="47"/>
        <item m="1" x="48"/>
        <item m="1" x="49"/>
        <item m="1" x="45"/>
        <item m="1" x="50"/>
        <item m="1" x="52"/>
        <item m="1" x="21"/>
        <item m="1" x="51"/>
        <item m="1" x="53"/>
        <item m="1" x="54"/>
        <item m="1" x="55"/>
        <item m="1" x="56"/>
        <item m="1" x="34"/>
        <item m="1" x="33"/>
        <item m="1" x="36"/>
        <item m="1" x="25"/>
        <item m="1" x="22"/>
        <item m="1" x="23"/>
        <item m="1" x="24"/>
        <item m="1" x="17"/>
        <item m="1" x="18"/>
        <item m="1" x="6"/>
        <item m="1" x="8"/>
        <item m="1" x="7"/>
        <item m="1" x="11"/>
        <item m="1" x="12"/>
        <item m="1" x="13"/>
        <item m="1" x="14"/>
        <item m="1" x="16"/>
        <item m="1" x="10"/>
        <item m="1" x="15"/>
        <item x="0"/>
        <item x="1"/>
        <item x="2"/>
        <item x="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3">
        <item m="1" x="1"/>
        <item x="0"/>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1"/>
        <item x="5"/>
        <item x="4"/>
        <item h="1" x="0"/>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6">
    <i>
      <x/>
      <x v="2"/>
      <x v="163"/>
    </i>
    <i>
      <x v="1"/>
      <x v="2"/>
      <x v="165"/>
    </i>
    <i r="1">
      <x v="3"/>
      <x v="24"/>
    </i>
    <i>
      <x v="2"/>
      <x v="1"/>
      <x v="164"/>
    </i>
    <i>
      <x v="5"/>
      <x v="2"/>
      <x v="166"/>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492">
      <pivotArea outline="0" collapsedLevelsAreSubtotals="1" fieldPosition="0"/>
    </format>
    <format dxfId="491">
      <pivotArea outline="0" collapsedLevelsAreSubtotals="1" fieldPosition="0"/>
    </format>
    <format dxfId="490">
      <pivotArea dataOnly="0" labelOnly="1" grandCol="1" outline="0" fieldPosition="0"/>
    </format>
    <format dxfId="489">
      <pivotArea outline="0" collapsedLevelsAreSubtotals="1" fieldPosition="0"/>
    </format>
    <format dxfId="488">
      <pivotArea dataOnly="0" labelOnly="1" grandCol="1" outline="0" fieldPosition="0"/>
    </format>
    <format dxfId="487">
      <pivotArea grandRow="1" outline="0" collapsedLevelsAreSubtotals="1" fieldPosition="0"/>
    </format>
    <format dxfId="486">
      <pivotArea grandRow="1" outline="0" collapsedLevelsAreSubtotals="1" fieldPosition="0"/>
    </format>
    <format dxfId="485">
      <pivotArea dataOnly="0" labelOnly="1" grandCol="1" outline="0" fieldPosition="0"/>
    </format>
    <format dxfId="484">
      <pivotArea dataOnly="0" labelOnly="1" outline="0" fieldPosition="0">
        <references count="2">
          <reference field="1" count="1" selected="0">
            <x v="0"/>
          </reference>
          <reference field="5" count="1">
            <x v="16"/>
          </reference>
        </references>
      </pivotArea>
    </format>
    <format dxfId="483">
      <pivotArea dataOnly="0" labelOnly="1" outline="0" fieldPosition="0">
        <references count="2">
          <reference field="1" count="1" selected="0">
            <x v="0"/>
          </reference>
          <reference field="5" count="1">
            <x v="16"/>
          </reference>
        </references>
      </pivotArea>
    </format>
    <format dxfId="482">
      <pivotArea dataOnly="0" labelOnly="1" outline="0" fieldPosition="0">
        <references count="2">
          <reference field="1" count="1" selected="0">
            <x v="4"/>
          </reference>
          <reference field="5" count="2">
            <x v="14"/>
            <x v="18"/>
          </reference>
        </references>
      </pivotArea>
    </format>
    <format dxfId="481">
      <pivotArea dataOnly="0" labelOnly="1" outline="0" fieldPosition="0">
        <references count="2">
          <reference field="1" count="1" selected="0">
            <x v="0"/>
          </reference>
          <reference field="5" count="1">
            <x v="16"/>
          </reference>
        </references>
      </pivotArea>
    </format>
    <format dxfId="480">
      <pivotArea dataOnly="0" labelOnly="1" outline="0" fieldPosition="0">
        <references count="2">
          <reference field="1" count="1" selected="0">
            <x v="4"/>
          </reference>
          <reference field="5" count="2">
            <x v="14"/>
            <x v="18"/>
          </reference>
        </references>
      </pivotArea>
    </format>
    <format dxfId="479">
      <pivotArea field="1" type="button" dataOnly="0" labelOnly="1" outline="0" axis="axisRow" fieldPosition="0"/>
    </format>
    <format dxfId="478">
      <pivotArea field="5" type="button" dataOnly="0" labelOnly="1" outline="0" axis="axisRow" fieldPosition="2"/>
    </format>
    <format dxfId="477">
      <pivotArea dataOnly="0" labelOnly="1" outline="0" fieldPosition="0">
        <references count="1">
          <reference field="12" count="0"/>
        </references>
      </pivotArea>
    </format>
    <format dxfId="476">
      <pivotArea dataOnly="0" labelOnly="1" grandCol="1" outline="0" fieldPosition="0"/>
    </format>
    <format dxfId="475">
      <pivotArea field="1" type="button" dataOnly="0" labelOnly="1" outline="0" axis="axisRow" fieldPosition="0"/>
    </format>
    <format dxfId="474">
      <pivotArea field="5" type="button" dataOnly="0" labelOnly="1" outline="0" axis="axisRow" fieldPosition="2"/>
    </format>
    <format dxfId="473">
      <pivotArea dataOnly="0" labelOnly="1" outline="0" fieldPosition="0">
        <references count="1">
          <reference field="12" count="0"/>
        </references>
      </pivotArea>
    </format>
    <format dxfId="472">
      <pivotArea dataOnly="0" labelOnly="1" grandCol="1" outline="0" fieldPosition="0"/>
    </format>
    <format dxfId="471">
      <pivotArea field="2" type="button" dataOnly="0" labelOnly="1" outline="0" axis="axisRow" fieldPosition="1"/>
    </format>
    <format dxfId="470">
      <pivotArea field="1" type="button" dataOnly="0" labelOnly="1" outline="0" axis="axisRow" fieldPosition="0"/>
    </format>
    <format dxfId="469">
      <pivotArea field="2" type="button" dataOnly="0" labelOnly="1" outline="0" axis="axisRow" fieldPosition="1"/>
    </format>
    <format dxfId="468">
      <pivotArea field="5" type="button" dataOnly="0" labelOnly="1" outline="0" axis="axisRow" fieldPosition="2"/>
    </format>
    <format dxfId="467">
      <pivotArea dataOnly="0" labelOnly="1" outline="0" fieldPosition="0">
        <references count="1">
          <reference field="12" count="0"/>
        </references>
      </pivotArea>
    </format>
    <format dxfId="466">
      <pivotArea dataOnly="0" labelOnly="1" grandCol="1" outline="0" fieldPosition="0"/>
    </format>
    <format dxfId="465">
      <pivotArea field="1" type="button" dataOnly="0" labelOnly="1" outline="0" axis="axisRow" fieldPosition="0"/>
    </format>
    <format dxfId="464">
      <pivotArea field="2" type="button" dataOnly="0" labelOnly="1" outline="0" axis="axisRow" fieldPosition="1"/>
    </format>
    <format dxfId="463">
      <pivotArea field="5" type="button" dataOnly="0" labelOnly="1" outline="0" axis="axisRow" fieldPosition="2"/>
    </format>
    <format dxfId="462">
      <pivotArea dataOnly="0" labelOnly="1" outline="0" fieldPosition="0">
        <references count="1">
          <reference field="12" count="0"/>
        </references>
      </pivotArea>
    </format>
    <format dxfId="461">
      <pivotArea field="12" grandRow="1" outline="0" axis="axisCol" fieldPosition="0">
        <references count="1">
          <reference field="12" count="0" selected="0"/>
        </references>
      </pivotArea>
    </format>
    <format dxfId="460">
      <pivotArea dataOnly="0" labelOnly="1" outline="0" fieldPosition="0">
        <references count="1">
          <reference field="1" count="2">
            <x v="0"/>
            <x v="4"/>
          </reference>
        </references>
      </pivotArea>
    </format>
    <format dxfId="459">
      <pivotArea dataOnly="0" labelOnly="1" grandRow="1" outline="0" fieldPosition="0"/>
    </format>
    <format dxfId="458">
      <pivotArea dataOnly="0" labelOnly="1" outline="0" fieldPosition="0">
        <references count="1">
          <reference field="1" count="2">
            <x v="0"/>
            <x v="4"/>
          </reference>
        </references>
      </pivotArea>
    </format>
    <format dxfId="457">
      <pivotArea dataOnly="0" labelOnly="1" grandRow="1" outline="0" fieldPosition="0"/>
    </format>
    <format dxfId="456">
      <pivotArea field="11" type="button" dataOnly="0" labelOnly="1" outline="0" axis="axisPage" fieldPosition="0"/>
    </format>
    <format dxfId="455">
      <pivotArea field="12" grandRow="1" outline="0" axis="axisCol" fieldPosition="0">
        <references count="1">
          <reference field="12" count="0" selected="0"/>
        </references>
      </pivotArea>
    </format>
    <format dxfId="454">
      <pivotArea field="12" grandRow="1" outline="0" axis="axisCol" fieldPosition="0">
        <references count="1">
          <reference field="12" count="0" selected="0"/>
        </references>
      </pivotArea>
    </format>
    <format dxfId="453">
      <pivotArea field="12" grandRow="1" outline="0" axis="axisCol" fieldPosition="0">
        <references count="1">
          <reference field="12" count="0" selected="0"/>
        </references>
      </pivotArea>
    </format>
    <format dxfId="452">
      <pivotArea grandRow="1" grandCol="1" outline="0" collapsedLevelsAreSubtotals="1" fieldPosition="0"/>
    </format>
    <format dxfId="451">
      <pivotArea grandRow="1" grandCol="1" outline="0" collapsedLevelsAreSubtotals="1" fieldPosition="0"/>
    </format>
    <format dxfId="450">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4">
          <x14:conditionalFormat priority="6" id="{BAE3BAAD-2855-4541-9A0D-5874056A0CCE}">
            <x14:pivotAreas count="1">
              <pivotArea type="data" outline="0" collapsedLevelsAreSubtotals="1" fieldPosition="0">
                <references count="2">
                  <reference field="4294967294" count="1" selected="0">
                    <x v="0"/>
                  </reference>
                  <reference field="12" count="4" selected="0">
                    <x v="1"/>
                    <x v="2"/>
                    <x v="3"/>
                    <x v="5"/>
                  </reference>
                </references>
              </pivotArea>
            </x14:pivotAreas>
          </x14:conditionalFormat>
          <x14:conditionalFormat priority="12"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15"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4" id="{793DEEDE-EB15-454C-9A1A-47BBA1A3B90B}">
            <x14:pivotAreas count="1">
              <pivotArea type="data" outline="0" collapsedLevelsAreSubtotals="1" fieldPosition="0">
                <references count="2">
                  <reference field="4294967294" count="1" selected="0">
                    <x v="0"/>
                  </reference>
                  <reference field="12" count="1" selected="0">
                    <x v="6"/>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17"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I37" firstHeaderRow="1" firstDataRow="2" firstDataCol="1"/>
  <pivotFields count="19">
    <pivotField showAll="0"/>
    <pivotField axis="axisCol" showAll="0">
      <items count="14">
        <item x="0"/>
        <item x="2"/>
        <item x="1"/>
        <item m="1" x="6"/>
        <item m="1" x="4"/>
        <item x="3"/>
        <item m="1" x="12"/>
        <item m="1" x="11"/>
        <item m="1" x="10"/>
        <item m="1" x="8"/>
        <item m="1" x="9"/>
        <item m="1" x="7"/>
        <item m="1" x="5"/>
        <item t="default"/>
      </items>
    </pivotField>
    <pivotField showAll="0"/>
    <pivotField showAll="0"/>
    <pivotField showAll="0"/>
    <pivotField showAll="0">
      <items count="168">
        <item m="1" x="87"/>
        <item m="1" x="75"/>
        <item m="1" x="66"/>
        <item m="1" x="97"/>
        <item m="1" x="91"/>
        <item m="1" x="53"/>
        <item m="1" x="144"/>
        <item m="1" x="15"/>
        <item m="1" x="17"/>
        <item m="1" x="143"/>
        <item m="1" x="88"/>
        <item m="1" x="76"/>
        <item m="1" x="82"/>
        <item m="1" x="24"/>
        <item m="1" x="6"/>
        <item m="1" x="134"/>
        <item m="1" x="102"/>
        <item m="1" x="94"/>
        <item m="1" x="21"/>
        <item m="1" x="73"/>
        <item m="1" x="96"/>
        <item m="1" x="72"/>
        <item m="1" x="79"/>
        <item m="1" x="49"/>
        <item m="1" x="50"/>
        <item m="1" x="11"/>
        <item m="1" x="100"/>
        <item m="1" x="81"/>
        <item m="1" x="39"/>
        <item m="1" x="64"/>
        <item m="1" x="7"/>
        <item m="1" x="107"/>
        <item m="1" x="106"/>
        <item m="1" x="19"/>
        <item m="1" x="59"/>
        <item m="1" x="10"/>
        <item m="1" x="23"/>
        <item m="1" x="142"/>
        <item m="1" x="13"/>
        <item m="1" x="55"/>
        <item m="1" x="32"/>
        <item m="1" x="45"/>
        <item m="1" x="67"/>
        <item m="1" x="63"/>
        <item m="1" x="18"/>
        <item m="1" x="26"/>
        <item m="1" x="28"/>
        <item m="1" x="41"/>
        <item m="1" x="99"/>
        <item m="1" x="141"/>
        <item m="1" x="34"/>
        <item x="3"/>
        <item m="1" x="14"/>
        <item m="1" x="35"/>
        <item m="1" x="54"/>
        <item m="1" x="137"/>
        <item m="1" x="133"/>
        <item x="2"/>
        <item m="1" x="65"/>
        <item x="1"/>
        <item m="1" x="8"/>
        <item m="1" x="46"/>
        <item m="1" x="51"/>
        <item x="0"/>
        <item m="1" x="12"/>
        <item m="1" x="145"/>
        <item m="1" x="146"/>
        <item m="1" x="139"/>
        <item m="1" x="52"/>
        <item m="1" x="42"/>
        <item m="1" x="22"/>
        <item m="1" x="138"/>
        <item m="1" x="25"/>
        <item m="1" x="89"/>
        <item m="1" x="103"/>
        <item m="1" x="78"/>
        <item m="1" x="58"/>
        <item m="1" x="44"/>
        <item m="1" x="86"/>
        <item m="1" x="132"/>
        <item m="1" x="56"/>
        <item m="1" x="33"/>
        <item m="1" x="131"/>
        <item m="1" x="29"/>
        <item m="1" x="147"/>
        <item m="1" x="9"/>
        <item m="1" x="69"/>
        <item m="1" x="62"/>
        <item m="1" x="16"/>
        <item m="1" x="77"/>
        <item m="1" x="60"/>
        <item m="1" x="83"/>
        <item m="1" x="57"/>
        <item m="1" x="101"/>
        <item m="1" x="36"/>
        <item m="1" x="30"/>
        <item m="1" x="47"/>
        <item m="1" x="48"/>
        <item m="1" x="98"/>
        <item m="1" x="37"/>
        <item m="1" x="126"/>
        <item m="1" x="125"/>
        <item m="1" x="154"/>
        <item m="1" x="148"/>
        <item m="1" x="151"/>
        <item m="1" x="150"/>
        <item m="1" x="129"/>
        <item m="1" x="160"/>
        <item m="1" x="130"/>
        <item m="1" x="149"/>
        <item m="1" x="114"/>
        <item m="1" x="71"/>
        <item m="1" x="31"/>
        <item m="1" x="5"/>
        <item m="1" x="68"/>
        <item m="1" x="156"/>
        <item m="1" x="140"/>
        <item m="1" x="128"/>
        <item m="1" x="90"/>
        <item m="1" x="109"/>
        <item m="1" x="158"/>
        <item m="1" x="27"/>
        <item m="1" x="92"/>
        <item m="1" x="118"/>
        <item m="1" x="108"/>
        <item m="1" x="110"/>
        <item m="1" x="165"/>
        <item m="1" x="115"/>
        <item m="1" x="38"/>
        <item m="1" x="95"/>
        <item m="1" x="162"/>
        <item m="1" x="104"/>
        <item m="1" x="111"/>
        <item m="1" x="93"/>
        <item m="1" x="161"/>
        <item m="1" x="112"/>
        <item m="1" x="159"/>
        <item m="1" x="74"/>
        <item m="1" x="136"/>
        <item x="4"/>
        <item m="1" x="163"/>
        <item m="1" x="122"/>
        <item m="1" x="84"/>
        <item m="1" x="20"/>
        <item m="1" x="70"/>
        <item m="1" x="61"/>
        <item m="1" x="40"/>
        <item m="1" x="113"/>
        <item m="1" x="166"/>
        <item m="1" x="164"/>
        <item m="1" x="121"/>
        <item m="1" x="119"/>
        <item m="1" x="105"/>
        <item m="1" x="116"/>
        <item m="1" x="120"/>
        <item m="1" x="117"/>
        <item m="1" x="124"/>
        <item m="1" x="80"/>
        <item m="1" x="157"/>
        <item m="1" x="43"/>
        <item m="1" x="152"/>
        <item m="1" x="155"/>
        <item m="1" x="153"/>
        <item m="1" x="135"/>
        <item m="1" x="85"/>
        <item m="1" x="123"/>
        <item m="1" x="127"/>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5"/>
        <item x="3"/>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6"/>
    </i>
    <i>
      <x v="2"/>
    </i>
    <i>
      <x v="3"/>
    </i>
    <i>
      <x v="4"/>
    </i>
    <i>
      <x v="5"/>
    </i>
    <i t="grand">
      <x/>
    </i>
  </rowItems>
  <colFields count="1">
    <field x="1"/>
  </colFields>
  <colItems count="5">
    <i>
      <x/>
    </i>
    <i>
      <x v="1"/>
    </i>
    <i>
      <x v="2"/>
    </i>
    <i>
      <x v="5"/>
    </i>
    <i t="grand">
      <x/>
    </i>
  </colItems>
  <dataFields count="1">
    <dataField name="Suma de % MYSTERY" fld="18" baseField="0" baseItem="0" numFmtId="9"/>
  </dataFields>
  <formats count="17">
    <format dxfId="509">
      <pivotArea outline="0" collapsedLevelsAreSubtotals="1" fieldPosition="0"/>
    </format>
    <format dxfId="508">
      <pivotArea dataOnly="0" labelOnly="1" grandCol="1" outline="0" fieldPosition="0"/>
    </format>
    <format dxfId="507">
      <pivotArea dataOnly="0" labelOnly="1" grandCol="1" outline="0" fieldPosition="0"/>
    </format>
    <format dxfId="506">
      <pivotArea grandRow="1" outline="0" collapsedLevelsAreSubtotals="1" fieldPosition="0"/>
    </format>
    <format dxfId="505">
      <pivotArea grandRow="1" outline="0" collapsedLevelsAreSubtotals="1" fieldPosition="0"/>
    </format>
    <format dxfId="504">
      <pivotArea dataOnly="0" labelOnly="1" grandCol="1" outline="0" fieldPosition="0"/>
    </format>
    <format dxfId="503">
      <pivotArea grandRow="1" grandCol="1" outline="0" collapsedLevelsAreSubtotals="1" fieldPosition="0"/>
    </format>
    <format dxfId="502">
      <pivotArea outline="0" collapsedLevelsAreSubtotals="1" fieldPosition="0"/>
    </format>
    <format dxfId="501">
      <pivotArea field="1" type="button" dataOnly="0" labelOnly="1" outline="0" axis="axisCol" fieldPosition="0"/>
    </format>
    <format dxfId="500">
      <pivotArea type="topRight" dataOnly="0" labelOnly="1" outline="0" fieldPosition="0"/>
    </format>
    <format dxfId="499">
      <pivotArea dataOnly="0" labelOnly="1" fieldPosition="0">
        <references count="1">
          <reference field="1" count="0"/>
        </references>
      </pivotArea>
    </format>
    <format dxfId="498">
      <pivotArea dataOnly="0" labelOnly="1" grandCol="1" outline="0" fieldPosition="0"/>
    </format>
    <format dxfId="497">
      <pivotArea outline="0" collapsedLevelsAreSubtotals="1" fieldPosition="0"/>
    </format>
    <format dxfId="496">
      <pivotArea field="1" type="button" dataOnly="0" labelOnly="1" outline="0" axis="axisCol" fieldPosition="0"/>
    </format>
    <format dxfId="495">
      <pivotArea type="topRight" dataOnly="0" labelOnly="1" outline="0" fieldPosition="0"/>
    </format>
    <format dxfId="494">
      <pivotArea dataOnly="0" labelOnly="1" fieldPosition="0">
        <references count="1">
          <reference field="1" count="0"/>
        </references>
      </pivotArea>
    </format>
    <format dxfId="493">
      <pivotArea dataOnly="0" labelOnly="1" grandCol="1" outline="0" fieldPosition="0"/>
    </format>
  </formats>
  <chartFormats count="12">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 chart="0" format="15" series="1">
      <pivotArea type="data" outline="0" fieldPosition="0">
        <references count="2">
          <reference field="4294967294" count="1" selected="0">
            <x v="0"/>
          </reference>
          <reference field="1" count="1" selected="0">
            <x v="1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7">
          <x14:conditionalFormat priority="8" id="{FD37CB4B-EA35-45C1-B033-CBB122F3F452}">
            <x14:pivotAreas count="1">
              <pivotArea type="data" outline="0" collapsedLevelsAreSubtotals="1" fieldPosition="0">
                <references count="2">
                  <reference field="4294967294" count="1" selected="0">
                    <x v="0"/>
                  </reference>
                  <reference field="1" count="1" selected="0">
                    <x v="2"/>
                  </reference>
                </references>
              </pivotArea>
            </x14:pivotAreas>
          </x14:conditionalFormat>
          <x14:conditionalFormat priority="10"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 priority="99" id="{578A6BBE-0746-49B8-A379-5CA92DEB79AA}">
            <x14:pivotAreas count="1">
              <pivotArea type="data" grandCol="1" collapsedLevelsAreSubtotals="1" fieldPosition="0">
                <references count="2">
                  <reference field="4294967294" count="1" selected="0">
                    <x v="0"/>
                  </reference>
                  <reference field="12" count="5">
                    <x v="2"/>
                    <x v="3"/>
                    <x v="4"/>
                    <x v="5"/>
                    <x v="6"/>
                  </reference>
                </references>
              </pivotArea>
            </x14:pivotAreas>
          </x14:conditionalFormat>
          <x14:conditionalFormat priority="21"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20"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3" id="{79EF4831-482A-49D1-9743-8F2E35D01FCC}">
            <x14:pivotAreas count="1">
              <pivotArea type="data" outline="0" collapsedLevelsAreSubtotals="1" fieldPosition="0">
                <references count="2">
                  <reference field="4294967294" count="1" selected="0">
                    <x v="0"/>
                  </reference>
                  <reference field="1" count="1" selected="0">
                    <x v="12"/>
                  </reference>
                </references>
              </pivotArea>
            </x14:pivotAreas>
          </x14:conditionalFormat>
          <x14:conditionalFormat priority="2" id="{1A50011A-7144-4BA5-9551-74A12994C23A}">
            <x14:pivotAreas count="1">
              <pivotArea type="data" grandRow="1"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17"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H23" firstHeaderRow="1" firstDataRow="2" firstDataCol="1"/>
  <pivotFields count="19">
    <pivotField showAll="0"/>
    <pivotField showAll="0">
      <items count="14">
        <item m="1" x="5"/>
        <item m="1" x="9"/>
        <item x="3"/>
        <item x="0"/>
        <item m="1" x="10"/>
        <item x="2"/>
        <item x="1"/>
        <item m="1" x="8"/>
        <item m="1" x="6"/>
        <item m="1" x="12"/>
        <item m="1" x="7"/>
        <item m="1" x="4"/>
        <item m="1" x="11"/>
        <item t="default"/>
      </items>
    </pivotField>
    <pivotField axis="axisCol" showAll="0">
      <items count="5">
        <item h="1" m="1" x="3"/>
        <item x="1"/>
        <item x="0"/>
        <item x="2"/>
        <item t="default"/>
      </items>
    </pivotField>
    <pivotField showAll="0"/>
    <pivotField showAll="0"/>
    <pivotField showAll="0">
      <items count="168">
        <item m="1" x="87"/>
        <item m="1" x="75"/>
        <item m="1" x="66"/>
        <item m="1" x="97"/>
        <item m="1" x="91"/>
        <item m="1" x="53"/>
        <item m="1" x="144"/>
        <item m="1" x="15"/>
        <item m="1" x="17"/>
        <item m="1" x="143"/>
        <item m="1" x="88"/>
        <item m="1" x="76"/>
        <item m="1" x="82"/>
        <item m="1" x="24"/>
        <item m="1" x="6"/>
        <item m="1" x="134"/>
        <item m="1" x="102"/>
        <item m="1" x="94"/>
        <item m="1" x="21"/>
        <item m="1" x="73"/>
        <item m="1" x="96"/>
        <item m="1" x="72"/>
        <item m="1" x="79"/>
        <item m="1" x="49"/>
        <item m="1" x="50"/>
        <item m="1" x="11"/>
        <item m="1" x="100"/>
        <item m="1" x="81"/>
        <item m="1" x="39"/>
        <item m="1" x="64"/>
        <item m="1" x="7"/>
        <item m="1" x="107"/>
        <item m="1" x="106"/>
        <item m="1" x="19"/>
        <item m="1" x="59"/>
        <item m="1" x="10"/>
        <item m="1" x="23"/>
        <item m="1" x="142"/>
        <item m="1" x="13"/>
        <item m="1" x="55"/>
        <item m="1" x="32"/>
        <item m="1" x="45"/>
        <item m="1" x="67"/>
        <item m="1" x="63"/>
        <item m="1" x="18"/>
        <item m="1" x="26"/>
        <item m="1" x="28"/>
        <item m="1" x="41"/>
        <item m="1" x="99"/>
        <item m="1" x="141"/>
        <item m="1" x="34"/>
        <item x="3"/>
        <item m="1" x="14"/>
        <item m="1" x="35"/>
        <item m="1" x="54"/>
        <item m="1" x="137"/>
        <item m="1" x="133"/>
        <item x="2"/>
        <item m="1" x="65"/>
        <item x="1"/>
        <item m="1" x="8"/>
        <item m="1" x="46"/>
        <item m="1" x="51"/>
        <item x="0"/>
        <item m="1" x="12"/>
        <item m="1" x="145"/>
        <item m="1" x="146"/>
        <item m="1" x="139"/>
        <item m="1" x="52"/>
        <item m="1" x="42"/>
        <item m="1" x="22"/>
        <item m="1" x="138"/>
        <item m="1" x="25"/>
        <item m="1" x="89"/>
        <item m="1" x="103"/>
        <item m="1" x="78"/>
        <item m="1" x="58"/>
        <item m="1" x="44"/>
        <item m="1" x="86"/>
        <item m="1" x="132"/>
        <item m="1" x="56"/>
        <item m="1" x="33"/>
        <item m="1" x="131"/>
        <item m="1" x="29"/>
        <item m="1" x="147"/>
        <item m="1" x="9"/>
        <item m="1" x="69"/>
        <item m="1" x="62"/>
        <item m="1" x="16"/>
        <item m="1" x="77"/>
        <item m="1" x="60"/>
        <item m="1" x="83"/>
        <item m="1" x="57"/>
        <item m="1" x="101"/>
        <item m="1" x="36"/>
        <item m="1" x="30"/>
        <item m="1" x="47"/>
        <item m="1" x="48"/>
        <item m="1" x="98"/>
        <item m="1" x="37"/>
        <item m="1" x="126"/>
        <item m="1" x="125"/>
        <item m="1" x="154"/>
        <item m="1" x="148"/>
        <item m="1" x="151"/>
        <item m="1" x="150"/>
        <item m="1" x="129"/>
        <item m="1" x="160"/>
        <item m="1" x="130"/>
        <item m="1" x="149"/>
        <item m="1" x="114"/>
        <item m="1" x="71"/>
        <item m="1" x="31"/>
        <item m="1" x="5"/>
        <item m="1" x="68"/>
        <item m="1" x="156"/>
        <item m="1" x="140"/>
        <item m="1" x="128"/>
        <item m="1" x="90"/>
        <item m="1" x="109"/>
        <item m="1" x="158"/>
        <item m="1" x="27"/>
        <item m="1" x="92"/>
        <item m="1" x="118"/>
        <item m="1" x="108"/>
        <item m="1" x="110"/>
        <item m="1" x="165"/>
        <item m="1" x="115"/>
        <item m="1" x="38"/>
        <item m="1" x="95"/>
        <item m="1" x="162"/>
        <item m="1" x="104"/>
        <item m="1" x="111"/>
        <item m="1" x="93"/>
        <item m="1" x="161"/>
        <item m="1" x="112"/>
        <item m="1" x="159"/>
        <item m="1" x="74"/>
        <item m="1" x="136"/>
        <item x="4"/>
        <item m="1" x="163"/>
        <item m="1" x="122"/>
        <item m="1" x="84"/>
        <item m="1" x="20"/>
        <item m="1" x="70"/>
        <item m="1" x="61"/>
        <item m="1" x="40"/>
        <item m="1" x="113"/>
        <item m="1" x="166"/>
        <item m="1" x="164"/>
        <item m="1" x="121"/>
        <item m="1" x="119"/>
        <item m="1" x="105"/>
        <item m="1" x="116"/>
        <item m="1" x="120"/>
        <item m="1" x="117"/>
        <item m="1" x="124"/>
        <item m="1" x="80"/>
        <item m="1" x="157"/>
        <item m="1" x="43"/>
        <item m="1" x="152"/>
        <item m="1" x="155"/>
        <item m="1" x="153"/>
        <item m="1" x="135"/>
        <item m="1" x="85"/>
        <item m="1" x="123"/>
        <item m="1" x="127"/>
        <item t="default"/>
      </items>
    </pivotField>
    <pivotField showAll="0"/>
    <pivotField showAll="0"/>
    <pivotField numFmtId="14" showAll="0"/>
    <pivotField showAll="0"/>
    <pivotField showAll="0"/>
    <pivotField showAll="0"/>
    <pivotField axis="axisRow" showAll="0" sortType="descending">
      <items count="8">
        <item h="1" m="1" x="6"/>
        <item h="1" x="0"/>
        <item x="5"/>
        <item x="3"/>
        <item x="1"/>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6"/>
    </i>
    <i>
      <x v="2"/>
    </i>
    <i>
      <x v="3"/>
    </i>
    <i>
      <x v="4"/>
    </i>
    <i>
      <x v="5"/>
    </i>
    <i t="grand">
      <x/>
    </i>
  </rowItems>
  <colFields count="1">
    <field x="2"/>
  </colFields>
  <colItems count="4">
    <i>
      <x v="1"/>
    </i>
    <i>
      <x v="2"/>
    </i>
    <i>
      <x v="3"/>
    </i>
    <i t="grand">
      <x/>
    </i>
  </colItems>
  <dataFields count="1">
    <dataField name="Suma de % MYSTERY" fld="18" baseField="0" baseItem="0" numFmtId="9"/>
  </dataFields>
  <formats count="17">
    <format dxfId="526">
      <pivotArea outline="0" collapsedLevelsAreSubtotals="1" fieldPosition="0"/>
    </format>
    <format dxfId="525">
      <pivotArea dataOnly="0" labelOnly="1" grandCol="1" outline="0" fieldPosition="0"/>
    </format>
    <format dxfId="524">
      <pivotArea dataOnly="0" labelOnly="1" grandCol="1" outline="0" fieldPosition="0"/>
    </format>
    <format dxfId="523">
      <pivotArea grandRow="1" outline="0" collapsedLevelsAreSubtotals="1" fieldPosition="0"/>
    </format>
    <format dxfId="522">
      <pivotArea grandRow="1" outline="0" collapsedLevelsAreSubtotals="1" fieldPosition="0"/>
    </format>
    <format dxfId="521">
      <pivotArea dataOnly="0" labelOnly="1" grandCol="1" outline="0" fieldPosition="0"/>
    </format>
    <format dxfId="520">
      <pivotArea grandRow="1" grandCol="1" outline="0" collapsedLevelsAreSubtotals="1" fieldPosition="0"/>
    </format>
    <format dxfId="519">
      <pivotArea outline="0" collapsedLevelsAreSubtotals="1" fieldPosition="0"/>
    </format>
    <format dxfId="518">
      <pivotArea field="2" type="button" dataOnly="0" labelOnly="1" outline="0" axis="axisCol" fieldPosition="0"/>
    </format>
    <format dxfId="517">
      <pivotArea type="topRight" dataOnly="0" labelOnly="1" outline="0" fieldPosition="0"/>
    </format>
    <format dxfId="516">
      <pivotArea dataOnly="0" labelOnly="1" fieldPosition="0">
        <references count="1">
          <reference field="2" count="0"/>
        </references>
      </pivotArea>
    </format>
    <format dxfId="515">
      <pivotArea dataOnly="0" labelOnly="1" grandCol="1" outline="0" fieldPosition="0"/>
    </format>
    <format dxfId="514">
      <pivotArea outline="0" collapsedLevelsAreSubtotals="1" fieldPosition="0"/>
    </format>
    <format dxfId="513">
      <pivotArea field="2" type="button" dataOnly="0" labelOnly="1" outline="0" axis="axisCol" fieldPosition="0"/>
    </format>
    <format dxfId="512">
      <pivotArea type="topRight" dataOnly="0" labelOnly="1" outline="0" fieldPosition="0"/>
    </format>
    <format dxfId="511">
      <pivotArea dataOnly="0" labelOnly="1" fieldPosition="0">
        <references count="1">
          <reference field="2" count="0"/>
        </references>
      </pivotArea>
    </format>
    <format dxfId="510">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3"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1" id="{2B5C1FB9-92FD-4770-9D69-94FED7A884CD}">
            <x14:pivotAreas count="1">
              <pivotArea type="data" outline="0" collapsedLevelsAreSubtotals="1" fieldPosition="0">
                <references count="2">
                  <reference field="4294967294" count="1" selected="0">
                    <x v="0"/>
                  </reference>
                  <reference field="2" count="1" selected="0">
                    <x v="3"/>
                  </reference>
                </references>
              </pivotArea>
            </x14:pivotAreas>
          </x14:conditionalFormat>
          <x14:conditionalFormat priority="11"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 priority="102"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307">
    <queryTableFields count="50">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255" name="OFRECE PURINA ONE: (APLICA SOLO EN CANAL MODERNO, CADENAS, SI EL PRODUCTO ESTA EN EL PDV)" tableColumnId="27"/>
      <queryTableField id="185" name="SELECCIONE EL CANAL DEL PDV QUE EVALUA" tableColumnId="26"/>
      <queryTableField id="256" name="CE - LO PRIMERO QUE OFRECE EL ASESOR ES LA MARCA PRO PLAN? (ENFOQUE EN GATOS)" tableColumnId="34"/>
      <queryTableField id="257" name="CE - EL ASESOR COMUNICA LOS BENEFICIOS Y CARACTERISTICAS DE LA MARCA PRO PLAN? (ENFOQUE EN GATOS)" tableColumnId="38"/>
      <queryTableField id="258" name="CE - LUEGO DE REALIZAR LA OBJECIÓN DE PRECIO, OFRECE LA MARCA EXCELLENT? (ENFOQUE EN GATOS)" tableColumnId="39"/>
      <queryTableField id="188" name="CE - El asesor comunica que la marca Excellent esta dentro de la categoria SuperPremium pero a un costo mas accesible." tableColumnId="29"/>
      <queryTableField id="259" name="CE - EL ASESOR COMUNICA LOS BENEFICIOS Y CARACTERISTICAS DEL PRODUCTO EXCELLENT? (ENFOQUE EN GATOS)" tableColumnId="40"/>
      <queryTableField id="260" name="CE - OFRECE PRODUCTO HUMEDO Y ENFATIZA EN LOS PACKS POR TEMAS DE PRECIO? (GATOS Y PERROS)" tableColumnId="41"/>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301" name="CT - OFRECIO ALGUN PRODUCTO DEL PORTAFOLIO PURINA DE PRODUCTOS SECOS COMUNICANDO LOS BENEFICIOS DEL PRODUCTO (DOG CHOW, CAT CHOW, ALPO, GATSY, FELIX O NINGUNO)" tableColumnId="45"/>
      <queryTableField id="302" name="CT - OFRECIO ALGUN PRODUCTO PORTAFOLIO PURINA DE PRODUCTOS HUMEDOS COMUNICANDO LOS BENEFICIOS DEL PRODUCTO (Dog chow húmedo, Cat chow húmedo, Fancy Feast, Felix, Proplan Húmedo, One Húmedo, Snacks (Abrazzos, Dentalife), Arenilla (Tidy Cat)" tableColumnId="49"/>
      <queryTableField id="303" name="CT - MENCIONA ALGUNA DE LAS INNOVACIONES QUE TENEMOS EN EL CANAL (CAT 200GR FELIX TRIPLE DELI Y MEGA MIX DE WET Y DOG CHOW ALTA PROTEINA DE 350GR 475GR )" tableColumnId="50"/>
      <queryTableField id="261" name="MENCIONA QUE LOS RESULTADOS SON VISIBLES EN 28 DIAS?" tableColumnId="42"/>
      <queryTableField id="262" name="MENCIONA QUE TIENE CARNE DE VERDAD COMO INGREDIENTE NO.1 E INGREDIENTES NATURALES Y FUNCIONALES?" tableColumnId="43"/>
      <queryTableField id="263" name="MENCIONA QUE PURINA ONE CUENTA CON ALIMENTO HUMEDO Y MENCIONA LAS 3 VARIADADES QUE TIENE ( SUPER FOODS, SUPER NUTRIENTES Y MULTI PROTEINAS); APLICA TANTO PARA PERRO COMO PARA GATO?" tableColumnId="44"/>
      <queryTableField id="279" name="ABORDA AL SHOPPER CON EL VERBATIM Y MANEJA LAS OBJECIONES SEGÚN COMUNICADO ENVIADO." tableColumnId="47"/>
      <queryTableField id="280" name="MENCIONA LA REDUCCION DE PRECIOS QUE TENEMOS DESDE EL MES DE DICIEMBRE (la unica referencia que no aplica es Gato adult carne 500gr)" tableColumnId="48"/>
      <queryTableField id="264" name="(OFRECE EL OBSEQUIO APLICA VIERNES, SABADO Y DOMINGO) Y EXPLICA COMO HACER LA TRANSICIÓN  DEL PRODUCTO Y BENEFICIOS?" tableColumnId="46"/>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3">
        <i x="3" s="1"/>
        <i x="0" s="1"/>
        <i x="2" s="1"/>
        <i x="1" s="1"/>
        <i x="5" s="1" nd="1"/>
        <i x="9" s="1" nd="1"/>
        <i x="10" s="1" nd="1"/>
        <i x="8" s="1" nd="1"/>
        <i x="6" s="1" nd="1"/>
        <i x="12" s="1" nd="1"/>
        <i x="7" s="1" nd="1"/>
        <i x="4" s="1" nd="1"/>
        <i x="11"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67">
        <i x="3" s="1"/>
        <i x="2" s="1"/>
        <i x="1" s="1"/>
        <i x="0" s="1"/>
        <i x="4" s="1"/>
        <i x="87" s="1" nd="1"/>
        <i x="75" s="1" nd="1"/>
        <i x="66" s="1" nd="1"/>
        <i x="97" s="1" nd="1"/>
        <i x="91" s="1" nd="1"/>
        <i x="53" s="1" nd="1"/>
        <i x="144" s="1" nd="1"/>
        <i x="15" s="1" nd="1"/>
        <i x="17" s="1" nd="1"/>
        <i x="143" s="1" nd="1"/>
        <i x="88" s="1" nd="1"/>
        <i x="76" s="1" nd="1"/>
        <i x="82" s="1" nd="1"/>
        <i x="24" s="1" nd="1"/>
        <i x="6" s="1" nd="1"/>
        <i x="134" s="1" nd="1"/>
        <i x="102" s="1" nd="1"/>
        <i x="94" s="1" nd="1"/>
        <i x="21" s="1" nd="1"/>
        <i x="73" s="1" nd="1"/>
        <i x="96" s="1" nd="1"/>
        <i x="72" s="1" nd="1"/>
        <i x="79" s="1" nd="1"/>
        <i x="49" s="1" nd="1"/>
        <i x="50" s="1" nd="1"/>
        <i x="11" s="1" nd="1"/>
        <i x="100" s="1" nd="1"/>
        <i x="81" s="1" nd="1"/>
        <i x="39" s="1" nd="1"/>
        <i x="64" s="1" nd="1"/>
        <i x="7" s="1" nd="1"/>
        <i x="107" s="1" nd="1"/>
        <i x="106" s="1" nd="1"/>
        <i x="19" s="1" nd="1"/>
        <i x="59" s="1" nd="1"/>
        <i x="10" s="1" nd="1"/>
        <i x="23" s="1" nd="1"/>
        <i x="142" s="1" nd="1"/>
        <i x="13" s="1" nd="1"/>
        <i x="55" s="1" nd="1"/>
        <i x="32" s="1" nd="1"/>
        <i x="45" s="1" nd="1"/>
        <i x="67" s="1" nd="1"/>
        <i x="63" s="1" nd="1"/>
        <i x="18" s="1" nd="1"/>
        <i x="26" s="1" nd="1"/>
        <i x="28" s="1" nd="1"/>
        <i x="41" s="1" nd="1"/>
        <i x="99" s="1" nd="1"/>
        <i x="141" s="1" nd="1"/>
        <i x="34" s="1" nd="1"/>
        <i x="14" s="1" nd="1"/>
        <i x="35" s="1" nd="1"/>
        <i x="54" s="1" nd="1"/>
        <i x="137" s="1" nd="1"/>
        <i x="133" s="1" nd="1"/>
        <i x="65" s="1" nd="1"/>
        <i x="8" s="1" nd="1"/>
        <i x="46" s="1" nd="1"/>
        <i x="51" s="1" nd="1"/>
        <i x="12" s="1" nd="1"/>
        <i x="145" s="1" nd="1"/>
        <i x="146" s="1" nd="1"/>
        <i x="139" s="1" nd="1"/>
        <i x="52" s="1" nd="1"/>
        <i x="42" s="1" nd="1"/>
        <i x="22" s="1" nd="1"/>
        <i x="138" s="1" nd="1"/>
        <i x="25" s="1" nd="1"/>
        <i x="89" s="1" nd="1"/>
        <i x="103" s="1" nd="1"/>
        <i x="78" s="1" nd="1"/>
        <i x="58" s="1" nd="1"/>
        <i x="44" s="1" nd="1"/>
        <i x="86" s="1" nd="1"/>
        <i x="132" s="1" nd="1"/>
        <i x="56" s="1" nd="1"/>
        <i x="33" s="1" nd="1"/>
        <i x="131" s="1" nd="1"/>
        <i x="29" s="1" nd="1"/>
        <i x="147" s="1" nd="1"/>
        <i x="9" s="1" nd="1"/>
        <i x="69" s="1" nd="1"/>
        <i x="62" s="1" nd="1"/>
        <i x="16" s="1" nd="1"/>
        <i x="77" s="1" nd="1"/>
        <i x="60" s="1" nd="1"/>
        <i x="83" s="1" nd="1"/>
        <i x="57" s="1" nd="1"/>
        <i x="101" s="1" nd="1"/>
        <i x="36" s="1" nd="1"/>
        <i x="30" s="1" nd="1"/>
        <i x="47" s="1" nd="1"/>
        <i x="48" s="1" nd="1"/>
        <i x="98" s="1" nd="1"/>
        <i x="37" s="1" nd="1"/>
        <i x="126" s="1" nd="1"/>
        <i x="125" s="1" nd="1"/>
        <i x="154" s="1" nd="1"/>
        <i x="148" s="1" nd="1"/>
        <i x="151" s="1" nd="1"/>
        <i x="150" s="1" nd="1"/>
        <i x="129" s="1" nd="1"/>
        <i x="160" s="1" nd="1"/>
        <i x="130" s="1" nd="1"/>
        <i x="149" s="1" nd="1"/>
        <i x="114" s="1" nd="1"/>
        <i x="71" s="1" nd="1"/>
        <i x="31" s="1" nd="1"/>
        <i x="5" s="1" nd="1"/>
        <i x="68" s="1" nd="1"/>
        <i x="156" s="1" nd="1"/>
        <i x="140" s="1" nd="1"/>
        <i x="128" s="1" nd="1"/>
        <i x="90" s="1" nd="1"/>
        <i x="109" s="1" nd="1"/>
        <i x="158" s="1" nd="1"/>
        <i x="27" s="1" nd="1"/>
        <i x="92" s="1" nd="1"/>
        <i x="118" s="1" nd="1"/>
        <i x="108" s="1" nd="1"/>
        <i x="110" s="1" nd="1"/>
        <i x="165" s="1" nd="1"/>
        <i x="115" s="1" nd="1"/>
        <i x="38" s="1" nd="1"/>
        <i x="95" s="1" nd="1"/>
        <i x="162" s="1" nd="1"/>
        <i x="104" s="1" nd="1"/>
        <i x="111" s="1" nd="1"/>
        <i x="93" s="1" nd="1"/>
        <i x="161" s="1" nd="1"/>
        <i x="112" s="1" nd="1"/>
        <i x="159" s="1" nd="1"/>
        <i x="74" s="1" nd="1"/>
        <i x="136" s="1" nd="1"/>
        <i x="163" s="1" nd="1"/>
        <i x="122" s="1" nd="1"/>
        <i x="84" s="1" nd="1"/>
        <i x="20" s="1" nd="1"/>
        <i x="70" s="1" nd="1"/>
        <i x="61" s="1" nd="1"/>
        <i x="40" s="1" nd="1"/>
        <i x="113" s="1" nd="1"/>
        <i x="166" s="1" nd="1"/>
        <i x="164" s="1" nd="1"/>
        <i x="121" s="1" nd="1"/>
        <i x="119" s="1" nd="1"/>
        <i x="105" s="1" nd="1"/>
        <i x="116" s="1" nd="1"/>
        <i x="120" s="1" nd="1"/>
        <i x="117" s="1" nd="1"/>
        <i x="124" s="1" nd="1"/>
        <i x="80" s="1" nd="1"/>
        <i x="157" s="1" nd="1"/>
        <i x="43" s="1" nd="1"/>
        <i x="152" s="1" nd="1"/>
        <i x="155" s="1" nd="1"/>
        <i x="153" s="1" nd="1"/>
        <i x="135" s="1" nd="1"/>
        <i x="85" s="1" nd="1"/>
        <i x="123" s="1" nd="1"/>
        <i x="127"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147" tableType="queryTable" totalsRowShown="0" dataDxfId="425">
  <autoFilter ref="A1:R147" xr:uid="{97FBBA3F-C205-4AFF-A76D-34CFCE9A6BBA}"/>
  <sortState xmlns:xlrd2="http://schemas.microsoft.com/office/spreadsheetml/2017/richdata2" ref="A2:R147">
    <sortCondition ref="I1:I147"/>
  </sortState>
  <tableColumns count="18">
    <tableColumn id="1" xr3:uid="{F8980204-6799-4FD6-9D3F-ACBAADC7880C}" uniqueName="1" name="ACTIVIDAD" queryTableFieldId="1" dataDxfId="170"/>
    <tableColumn id="2" xr3:uid="{1473C919-5D8D-427F-BA10-68EF03B2B653}" uniqueName="2" name="CIUDAD" queryTableFieldId="2" dataDxfId="169"/>
    <tableColumn id="18" xr3:uid="{20FCDFA3-8687-4CA1-9A5B-AEA6FCAD9592}" uniqueName="18" name="CANAL" queryTableFieldId="24" dataDxfId="424"/>
    <tableColumn id="3" xr3:uid="{271FB548-EFFC-45F2-8177-856C35C071DC}" uniqueName="3" name="CADENA" queryTableFieldId="3" dataDxfId="168"/>
    <tableColumn id="4" xr3:uid="{F71A0A19-15B2-4D1D-905C-70CEC9D6AF47}" uniqueName="4" name="CODIGO PDV" queryTableFieldId="4" dataDxfId="167"/>
    <tableColumn id="5" xr3:uid="{E4FEADCA-E2DE-4789-9C78-5F8FB6496823}" uniqueName="5" name="NOMBRE COMERCIAL" queryTableFieldId="5" dataDxfId="166"/>
    <tableColumn id="6" xr3:uid="{5C99D03B-478A-40A2-B3AE-437E7D31990C}" uniqueName="6" name="PREGUNTA" queryTableFieldId="6" dataDxfId="165"/>
    <tableColumn id="7" xr3:uid="{A5EA4B65-C844-4AE4-AE87-CD2AEFA3E4BD}" uniqueName="7" name="RTA" queryTableFieldId="7" dataDxfId="164"/>
    <tableColumn id="8" xr3:uid="{8D71EA04-388B-4C72-AD67-882BB5218CAB}" uniqueName="8" name="FECHA VISITA" queryTableFieldId="8" dataDxfId="163"/>
    <tableColumn id="9" xr3:uid="{11007230-BF6F-4DA6-9C0C-28D77621834B}" uniqueName="9" name="CODIGO RUTA" queryTableFieldId="9" dataDxfId="162"/>
    <tableColumn id="10" xr3:uid="{CF07A078-D8EF-4D63-9B89-6F593201E2E4}" uniqueName="10" name="USUARIO" queryTableFieldId="10" dataDxfId="161"/>
    <tableColumn id="13" xr3:uid="{F212FAAC-215E-43D0-BC9D-3AA543F277F7}" uniqueName="13" name="MYSTERY EFECTIVO" queryTableFieldId="17" dataDxfId="160">
      <calculatedColumnFormula>_xlfn.XLOOKUP(Tabla2__2[[#This Row],[CODIGO RUTA]],'DATA INFORME'!I:I,'DATA INFORME'!K:K)</calculatedColumnFormula>
    </tableColumn>
    <tableColumn id="16" xr3:uid="{21F854B2-004D-4505-9E1A-A9AC1F214887}" uniqueName="16" name="CLUSTER" queryTableFieldId="16" dataDxfId="159">
      <calculatedColumnFormula>IF(Tabla2__2[[#This Row],[MYSTERY EFECTIVO]]="SI",_xlfn.XLOOKUP(Tabla2__2[[#This Row],[PREGUNTA]],ENCUESTA!G:G,ENCUESTA!D:D),"N/A")</calculatedColumnFormula>
    </tableColumn>
    <tableColumn id="12" xr3:uid="{AFEBD2E2-BCC0-467F-B0E5-D144F68133B0}" uniqueName="12" name="TOTAL PUNTAJE" queryTableFieldId="12" dataDxfId="158">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157">
      <calculatedColumnFormula>_xlfn.XLOOKUP(Tabla2__2[[#This Row],[PREGUNTA]],ENCUESTA!G:G,ENCUESTA!H:H)</calculatedColumnFormula>
    </tableColumn>
    <tableColumn id="15" xr3:uid="{E8D41959-0664-4224-BEF1-FD955A109471}" uniqueName="15" name="PUNTAJE OBTENIDO" queryTableFieldId="15" dataDxfId="156">
      <calculatedColumnFormula>IF(Tabla2__2[[#This Row],[RTA]]=Tabla2__2[[#This Row],[RTA CORRECTA]],Tabla2__2[[#This Row],[TOTAL PUNTAJE]],0)</calculatedColumnFormula>
    </tableColumn>
    <tableColumn id="17" xr3:uid="{448B051F-50DD-4A27-B120-BB93A9AFD029}" uniqueName="17" name="Columna1" queryTableFieldId="23" dataDxfId="155">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15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6" totalsRowShown="0" headerRowDxfId="423" dataDxfId="421" headerRowBorderDxfId="422" tableBorderDxfId="420" totalsRowBorderDxfId="419" headerRowCellStyle="Normal 2" dataCellStyle="Normal 2">
  <autoFilter ref="A1:I6" xr:uid="{A06AE8C8-5477-4852-991F-0FB4F9396ED6}"/>
  <tableColumns count="9">
    <tableColumn id="3" xr3:uid="{CEEFCC7D-2B45-4409-9FEE-36A6008A09E3}" name="CANAL" dataDxfId="418" dataCellStyle="Normal 2">
      <calculatedColumnFormula>_xlfn.XLOOKUP(Tabla1[[#This Row],[CODIGO PDV]],Export!H:H,Export!D:D,0)</calculatedColumnFormula>
    </tableColumn>
    <tableColumn id="1" xr3:uid="{D5DD6073-7452-4C56-A046-CF25B19FCB4F}" name="CIUDAD" dataDxfId="417" dataCellStyle="Normal 2"/>
    <tableColumn id="2" xr3:uid="{304FB0E8-7EB9-4B2E-BDF0-6B1E9D3DF639}" name="CODIGO PDV" dataDxfId="416"/>
    <tableColumn id="4" xr3:uid="{5FFEE965-7C33-4146-8749-C7E79BD9F083}" name="NOMBRE COMERCIAL" dataDxfId="415" dataCellStyle="Normal 2"/>
    <tableColumn id="9" xr3:uid="{56DA6644-1938-47DF-9205-928EAD17CD86}" name="Objetivo Mystery" dataDxfId="414" dataCellStyle="Normal 2"/>
    <tableColumn id="6" xr3:uid="{8587C1B8-25E9-47DF-96EC-0DE9EA854031}" name="#PDV Objetivos" dataDxfId="413"/>
    <tableColumn id="7" xr3:uid="{254582AE-0341-4027-9F60-A63C456EE6EE}" name="#PDV Ejecutados" dataDxfId="412">
      <calculatedColumnFormula>IF(COUNTIFS(Export!I:I,Tabla1[[#This Row],[CODIGO PDV]])&gt;0,1,0)</calculatedColumnFormula>
    </tableColumn>
    <tableColumn id="11" xr3:uid="{EA4A24E0-6A56-4A45-8F19-78AD6DCA277C}" name="# Visitas" dataDxfId="411" dataCellStyle="Normal 2">
      <calculatedColumnFormula>COUNTIFS('DATA INFORME'!D:D,Tabla1[[#This Row],[CODIGO PDV]])</calculatedColumnFormula>
    </tableColumn>
    <tableColumn id="12" xr3:uid="{F623D095-7356-4242-BFFB-11B8E769EF0F}" name="Mystery Ejecutado" dataDxfId="410"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X6" tableType="queryTable" totalsRowShown="0" dataDxfId="409">
  <autoFilter ref="A1:AX6" xr:uid="{0562BD29-73FE-4027-BA12-621401EE7163}"/>
  <tableColumns count="50">
    <tableColumn id="1" xr3:uid="{5E36F5EC-EFE4-416F-AE2A-0A34DABD1BE1}" uniqueName="1" name="ACTIVIDAD" queryTableFieldId="1" dataDxfId="408"/>
    <tableColumn id="2" xr3:uid="{2D91E598-A31D-4125-8581-3FD329B9D8A6}" uniqueName="2" name="CIUDAD" queryTableFieldId="2" dataDxfId="407"/>
    <tableColumn id="3" xr3:uid="{BE955660-67C1-4BC9-A7B2-76050F0F9717}" uniqueName="3" name="CADENA" queryTableFieldId="3" dataDxfId="406"/>
    <tableColumn id="4" xr3:uid="{584B1D0E-A845-487E-B24D-3F46D830A3DD}" uniqueName="4" name="CODIGO PDV" queryTableFieldId="4" dataDxfId="405"/>
    <tableColumn id="5" xr3:uid="{5C21200B-0203-45FF-8479-0CBCF5834786}" uniqueName="5" name="NOMBRE COMERCIAL" queryTableFieldId="5" dataDxfId="404"/>
    <tableColumn id="6" xr3:uid="{AF5E9C40-1A6C-47AF-818E-E6BCE6E6B906}" uniqueName="6" name="CONSECUTIVO ENCUESTA" queryTableFieldId="6" dataDxfId="403"/>
    <tableColumn id="7" xr3:uid="{3C3C5756-6C5B-4F83-A4BA-7370A5D3B586}" uniqueName="7" name="NOMBRE ENCUESTA" queryTableFieldId="7" dataDxfId="402"/>
    <tableColumn id="10" xr3:uid="{592470FD-FBDE-42A0-A47E-06AE15D2BD4D}" uniqueName="10" name="FECHA VISITA" queryTableFieldId="10" dataDxfId="171"/>
    <tableColumn id="11" xr3:uid="{2A1045B2-E0F3-426E-AF7C-91A0AAEEA606}" uniqueName="11" name="CODIGO RUTA" queryTableFieldId="11" dataDxfId="401"/>
    <tableColumn id="12" xr3:uid="{7575ACE8-4DCC-44B4-BD89-97F5F6978813}" uniqueName="12" name="USUARIO" queryTableFieldId="12" dataDxfId="400"/>
    <tableColumn id="8" xr3:uid="{8674FC2D-67B0-45D7-A117-6AB0FC2FC3AE}" uniqueName="8" name="SE LOGRA REALIZAR EL MYSTERY?" queryTableFieldId="181" dataDxfId="399"/>
    <tableColumn id="9" xr3:uid="{36AC2E6B-F783-41F9-A395-AD816E6B1B6B}" uniqueName="9" name="¿CUMPLE HORARIO DE ENTRADA O SALIDA DE LA TIENDA?" queryTableFieldId="154" dataDxfId="398"/>
    <tableColumn id="13" xr3:uid="{C51AF687-3DBE-4078-B41B-510ABFCE0684}" uniqueName="13" name="CUENTA CON PANTALON DEL UNIFORME SEGÚN EL CARGO (NEGRO / ROJO / TURQUESA / JEAN)" queryTableFieldId="155" dataDxfId="397"/>
    <tableColumn id="14" xr3:uid="{341F0A1D-8FCD-41D6-8964-34CCED3ED411}" uniqueName="14" name="CUENTA CON CAMISA DEL UNIFORME Y LOGOS SEGÚN EL CARGO (NEGRA / GRIS / ROJA / TURQUESA) (Es permitido usar debajo de la camisa buso manga larga Negro)" queryTableFieldId="156" dataDxfId="396"/>
    <tableColumn id="16" xr3:uid="{D2371F42-BC07-4548-B6B4-80B991018D4D}" uniqueName="16" name="CUENTA CON CALZADO DE ACUERDO AL UNIFORME" queryTableFieldId="54" dataDxfId="395"/>
    <tableColumn id="15" xr3:uid="{9BB8CF8A-778E-4204-AC89-28DFE270E157}" uniqueName="15" name="POSEE ALGUNA PRENDA ENCIMA DEL UNIFORME NO AUTORIZADA POR LA MARCA (Unicamente esta permitido chaleco de Sodimac y Easy)" queryTableFieldId="157" dataDxfId="394"/>
    <tableColumn id="17" xr3:uid="{F5E30CB3-007B-4336-B1FC-B61B58699F7A}" uniqueName="17" name="EL UNIFORME Y ZAPATOS SE ENCUENTRAN LIMPIOS Y EN BUEN ESTADO" queryTableFieldId="158" dataDxfId="393"/>
    <tableColumn id="18" xr3:uid="{3D3D39A7-BDA7-4332-84A1-F6CA631ED8B1}" uniqueName="18" name="SU CABELLO LUCE LIMPIO, ORGANIZADO O RECOGIDO" queryTableFieldId="159" dataDxfId="392"/>
    <tableColumn id="19" xr3:uid="{10DB44B2-E41E-4EF2-8742-4966C6A2BC32}" uniqueName="19" name="PRESENTA EXCESO DE MAQUILLAJE QUE NO CUMPLE CON EL CODIGO DE VESTIMENTA" queryTableFieldId="160" dataDxfId="391"/>
    <tableColumn id="20" xr3:uid="{6AAEAE78-D4F5-4752-93C8-5B7CAB0DD784}" uniqueName="20" name="TIENE TATUAJES O PIERCINGS VISIBLES QUE NO CUMPLE CON EL CODIGO DE VESTIMENTA" queryTableFieldId="161" dataDxfId="390"/>
    <tableColumn id="21" xr3:uid="{296B1AC1-D069-4B4E-93B0-CF0ED2A976DD}" uniqueName="21" name="TIENE UÑAS LLAMATIVAS Y/O LARGAS QUE NO CUMPLE CON EL CODIGO DE VESTIMENTA" queryTableFieldId="162" dataDxfId="389"/>
    <tableColumn id="22" xr3:uid="{437C56A5-8D82-4008-AE1E-7ABA17C881D7}" uniqueName="22" name="USA ACCESORIOS QUE NO CUMPLE CON EL CODIGO DE VESTIMENTA" queryTableFieldId="163" dataDxfId="388"/>
    <tableColumn id="23" xr3:uid="{60ED6DCE-BA23-42DE-8B2D-3A4A6A52642F}" uniqueName="23" name="SE PRODUCE ABORDAJE PROACTIVO (antes de 1 min)" queryTableFieldId="231" dataDxfId="387"/>
    <tableColumn id="24" xr3:uid="{83BE787B-B06C-4885-A33E-CC11993E34CC}" uniqueName="24" name="INDAGA SOBRE LAS NECESIDADES DEL CLIENTE CON RESPECTO A SU CONSUMO HABITUAL &quot; MARCAS COMPETENCIA O PROPIAS&quot; - OBJECIÓN DE PRECIOS." queryTableFieldId="207" dataDxfId="386"/>
    <tableColumn id="27" xr3:uid="{284379A9-A157-4838-9E29-3684DCE1F269}" uniqueName="27" name="OFRECE PURINA ONE: (APLICA SOLO EN CANAL MODERNO, CADENAS, SI EL PRODUCTO ESTA EN EL PDV)" queryTableFieldId="255" dataDxfId="385"/>
    <tableColumn id="26" xr3:uid="{B61435E1-7BBA-4D29-9AF5-28E7A92D15FC}" uniqueName="26" name="SELECCIONE EL CANAL DEL PDV QUE EVALUA" queryTableFieldId="185" dataDxfId="384"/>
    <tableColumn id="34" xr3:uid="{8A873B17-0D6F-4361-9358-3223A5A84A0F}" uniqueName="34" name="CE - LO PRIMERO QUE OFRECE EL ASESOR ES LA MARCA PRO PLAN? (ENFOQUE EN GATOS)" queryTableFieldId="256" dataDxfId="383"/>
    <tableColumn id="38" xr3:uid="{482476F0-3D83-451A-A95A-E077F72B2094}" uniqueName="38" name="CE - EL ASESOR COMUNICA LOS BENEFICIOS Y CARACTERISTICAS DE LA MARCA PRO PLAN? (ENFOQUE EN GATOS)" queryTableFieldId="257" dataDxfId="382"/>
    <tableColumn id="39" xr3:uid="{F27F882A-C9C5-4B7A-8AA0-70C9CC5E9067}" uniqueName="39" name="CE - LUEGO DE REALIZAR LA OBJECIÓN DE PRECIO, OFRECE LA MARCA EXCELLENT? (ENFOQUE EN GATOS)" queryTableFieldId="258" dataDxfId="381"/>
    <tableColumn id="29" xr3:uid="{24512568-850B-465C-872F-9B32CC228151}" uniqueName="29" name="CE - EL ASESOR COMUNICA QUE LA MARCA EXCELLENT ESTA DENTRO DE LA CATEGORIA SUPERPREMIUM PERO A UN COSTO MAS ACCESIBLE." queryTableFieldId="188" dataDxfId="380"/>
    <tableColumn id="40" xr3:uid="{B67F75DF-C310-49F2-AA09-DEE02D8A6A7C}" uniqueName="40" name="CE - EL ASESOR COMUNICA LOS BENEFICIOS Y CARACTERISTICAS DEL PRODUCTO EXCELLENT? (ENFOQUE EN GATOS)" queryTableFieldId="259" dataDxfId="379"/>
    <tableColumn id="41" xr3:uid="{760ACB3F-67EB-4791-9B93-E4ACC4135B75}" uniqueName="41" name="CE - OFRECE PRODUCTO HUMEDO Y ENFATIZA EN LOS PACKS POR TEMAS DE PRECIO? (GATOS Y PERROS)" queryTableFieldId="260" dataDxfId="378"/>
    <tableColumn id="32" xr3:uid="{CBEB7872-E0FC-433F-92ED-BF6DF9A3C871}" uniqueName="32" name="INDIQUE QUE TIPO DE OBJECION / DUDA MANIFESTÓ" queryTableFieldId="191" dataDxfId="377"/>
    <tableColumn id="33" xr3:uid="{774766D5-18B3-4E35-B2FD-98A885CFD662}" uniqueName="33" name="RESUELVE LA OBJECION SATISFACTORIAMENTE?" queryTableFieldId="192" dataDxfId="376"/>
    <tableColumn id="31" xr3:uid="{4E18A3A0-6D02-46B2-9740-8B74AD99F75A}" uniqueName="31" name="SE ENCUENTRA LIMPIA EL AREA DE DEMOSTRACION &quot;REVISION DE PRODUCTO SIN POLVO Y EN OPTIMAS CONDICIONES&quot;" queryTableFieldId="211" dataDxfId="375"/>
    <tableColumn id="35" xr3:uid="{3683C6AA-101F-48B4-B6A1-E0088EF5A86C}" uniqueName="35" name="REALIZA CIERRE DE VENTA" queryTableFieldId="194" dataDxfId="374"/>
    <tableColumn id="36" xr3:uid="{94638410-401E-4210-92E9-5182B805AAFB}" uniqueName="36" name="CONSIDERO QUE INDEPENDIENTEMENTE DEL SPEECH, LA LABOR DE VENTA ES BUENA" queryTableFieldId="195" dataDxfId="373"/>
    <tableColumn id="37" xr3:uid="{3A6DAE93-BEED-4A28-87F2-FA1A6561FE9D}" uniqueName="37" name="DESEA AÑADIR ALGUNA OBSERVACION Y/O NOVEDAD DEL MYSTERY REALIZADO?" queryTableFieldId="196" dataDxfId="372"/>
    <tableColumn id="45" xr3:uid="{F9980365-8321-488F-BEB9-DED38304E883}" uniqueName="45" name="CT - OFRECIO ALGUN PRODUCTO DEL PORTAFOLIO PURINA DE PRODUCTOS SECOS COMUNICANDO LOS BENEFICIOS DEL PRODUCTO (DOG CHOW, CAT CHOW, ALPO, GATSY, FELIX O NINGUNO)" queryTableFieldId="301" dataDxfId="371"/>
    <tableColumn id="49" xr3:uid="{1DF3AC2A-581F-479C-9FCC-465AEDC8039C}" uniqueName="49" name="CT - OFRECIO ALGUN PRODUCTO PORTAFOLIO PURINA DE PRODUCTOS HUMEDOS COMUNICANDO LOS BENEFICIOS DEL PRODUCTO (Dog chow húmedo, Cat chow húmedo, Fancy Feast, Felix, Proplan Húmedo, One Húmedo, Snacks (Abrazzos, Dentalife), Arenilla (Tidy Cat)" queryTableFieldId="302" dataDxfId="370"/>
    <tableColumn id="50" xr3:uid="{F813ECF7-08E2-4CFB-9D2F-E49E696559D3}" uniqueName="50" name="CT - MENCIONA ALGUNA DE LAS INNOVACIONES QUE TENEMOS EN EL CANAL (CAT 200GR FELIX TRIPLE DELI Y MEGA MIX DE WET Y DOG CHOW ALTA PROTEINA DE 350GR 475GR )" queryTableFieldId="303" dataDxfId="369"/>
    <tableColumn id="42" xr3:uid="{9B084867-EAF1-4A33-A167-C92DA8E938C6}" uniqueName="42" name="MENCIONA QUE LOS RESULTADOS SON VISIBLES EN 28 DIAS?" queryTableFieldId="261" dataDxfId="368"/>
    <tableColumn id="43" xr3:uid="{EFAAAC76-F29B-48D3-A59C-81A36F6A154A}" uniqueName="43" name="MENCIONA QUE TIENE CARNE DE VERDAD COMO INGREDIENTE NO.1 E INGREDIENTES NATURALES Y FUNCIONALES?" queryTableFieldId="262" dataDxfId="367"/>
    <tableColumn id="44" xr3:uid="{701F39B1-4966-4DE1-A233-A698474A4367}" uniqueName="44" name="MENCIONA QUE PURINA ONE CUENTA CON ALIMENTO HUMEDO Y MENCIONA LAS 3 VARIADADES QUE TIENE ( SUPER FOODS, SUPER NUTRIENTES Y MULTI PROTEINAS); APLICA TANTO PARA PERRO COMO PARA GATO?" queryTableFieldId="263" dataDxfId="366"/>
    <tableColumn id="47" xr3:uid="{E92DB435-7A60-4B33-8CE2-269460F4175D}" uniqueName="47" name="ABORDA AL SHOPPER CON EL VERBATIM Y MANEJA LAS OBJECIONES SEGÚN COMUNICADO ENVIADO." queryTableFieldId="279" dataDxfId="365"/>
    <tableColumn id="48" xr3:uid="{1271A6F0-C63E-4FE1-8586-5720B1F96094}" uniqueName="48" name="MENCIONA LA REDUCCION DE PRECIOS QUE TENEMOS DESDE EL MES DE DICIEMBRE (la unica referencia que no aplica es Gato adult carne 500gr)" queryTableFieldId="280" dataDxfId="364"/>
    <tableColumn id="46" xr3:uid="{933E5AC2-5C37-4A36-9437-F8DED8244B0F}" uniqueName="46" name="(OFRECE EL OBSEQUIO APLICA VIERNES, SABADO Y DOMINGO) Y EXPLICA COMO HACER LA TRANSICIÓN  DEL PRODUCTO Y BENEFICIOS?" queryTableFieldId="264" dataDxfId="363"/>
    <tableColumn id="25" xr3:uid="{06DE5A92-8BE3-4285-A829-2308E9176145}" uniqueName="25" name="CM - OFRECE DOG CHOW O CAT CHOW COMO PRIMERA OPCION" queryTableFieldId="208" dataDxfId="362"/>
    <tableColumn id="28" xr3:uid="{F0FF3AAF-CFCD-4274-8C64-67AB149C88C0}" uniqueName="28" name="CM - OFRECE ALIMENTO HUMEDO DE DOG CHOW Y FELIX" queryTableFieldId="209" dataDxfId="361"/>
    <tableColumn id="30" xr3:uid="{099B029B-CFA1-4EB0-8B6D-735DE6221749}" uniqueName="30" name="CM - CONOCE LAS DINAMICAS COMERCIALES DEL PDV" queryTableFieldId="210" dataDxfId="36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147" totalsRowShown="0" dataDxfId="359">
  <autoFilter ref="A1:AC147" xr:uid="{DF097FD5-2AE4-4313-BF77-CBF36E66D478}"/>
  <tableColumns count="29">
    <tableColumn id="1" xr3:uid="{EEAB5D40-1395-44AC-989B-7BEBDB594890}" name="ACTIVIDAD" dataDxfId="358"/>
    <tableColumn id="2" xr3:uid="{7135FC02-E21A-4459-956C-B095998917BA}" name="REGIONAL" dataDxfId="357"/>
    <tableColumn id="3" xr3:uid="{A676BE8F-9D25-4608-AFA9-335EE953599F}" name="CIUDAD" dataDxfId="356"/>
    <tableColumn id="4" xr3:uid="{8C438510-9FA2-4A67-81E2-F5A249D8C2D8}" name="CANAL" dataDxfId="355"/>
    <tableColumn id="5" xr3:uid="{55468C83-E61B-4AC3-8AB6-7842CA8A8685}" name="CADENA" dataDxfId="354"/>
    <tableColumn id="6" xr3:uid="{319677CB-3518-4692-9804-576A90B637C6}" name="SUBCADENA" dataDxfId="353"/>
    <tableColumn id="7" xr3:uid="{280B06EB-BEEB-41FF-BD4D-C86267C96B51}" name="ZONA" dataDxfId="352"/>
    <tableColumn id="8" xr3:uid="{38318117-E4E5-4BBD-BCB8-A0CF5740AD2E}" name="RV" dataDxfId="351">
      <calculatedColumnFormula>VALUE(Tabla2[[#This Row],[CODIGO PDV]])</calculatedColumnFormula>
    </tableColumn>
    <tableColumn id="9" xr3:uid="{AE249958-DA07-4D5E-8893-DA47B2F89DBB}" name="CODIGO PDV" dataDxfId="350"/>
    <tableColumn id="10" xr3:uid="{5063BA25-7363-4804-9209-6EF1C7FD9552}" name="NOMBRE COMERCIAL" dataDxfId="349"/>
    <tableColumn id="11" xr3:uid="{1CA31434-5FCA-4588-9EF7-31A85DF89C42}" name="CODIGO EAN" dataDxfId="348"/>
    <tableColumn id="12" xr3:uid="{F4C77DD5-927D-43C6-A19F-C551C82B3D0D}" name="TIPO PUNTO VENTA" dataDxfId="347"/>
    <tableColumn id="13" xr3:uid="{EF48160A-97DF-4C9A-9BBF-2ECC73BF528F}" name="CONSECUTIVO ENCUESTA" dataDxfId="346"/>
    <tableColumn id="14" xr3:uid="{6FA0BAC5-63D5-4D95-B588-F0B164135E47}" name="NOMBRE ENCUESTA" dataDxfId="345"/>
    <tableColumn id="15" xr3:uid="{7C6BC3DB-B9BC-4C72-ADB7-0BB7A62378BB}" name="PREGUNTA" dataDxfId="344"/>
    <tableColumn id="16" xr3:uid="{AB325775-AFD1-4793-A618-BF02FE3029AE}" name="RESPUESTA" dataDxfId="343"/>
    <tableColumn id="17" xr3:uid="{85D12482-E7F3-4879-B4F0-D80F64421259}" name="CODIGO FOTO" dataDxfId="342"/>
    <tableColumn id="18" xr3:uid="{01036A0B-7510-4B37-96FC-1C395DEDC179}" name="OBSERVACION" dataDxfId="341"/>
    <tableColumn id="19" xr3:uid="{2F24E07E-80CB-4EA2-9555-9AEB9E02C9EF}" name="FECHA VISITA" dataDxfId="340"/>
    <tableColumn id="20" xr3:uid="{DC9D56CE-D3BF-4EEF-90B5-C3152AB2A8A8}" name="FECHA INICIO VISITA" dataDxfId="339"/>
    <tableColumn id="21" xr3:uid="{8DDE28A9-EDD9-412B-B7A2-DF2644A996E9}" name="FECHA CREACIÓN RESPUESTA" dataDxfId="338"/>
    <tableColumn id="22" xr3:uid="{3A74E72D-F4BF-4E54-8634-EEEC35A8C032}" name="CODIGO RUTA" dataDxfId="337"/>
    <tableColumn id="23" xr3:uid="{0ADFC93D-A4B4-4C17-8A6B-A6D563B99FCD}" name="CLIENTE" dataDxfId="336"/>
    <tableColumn id="24" xr3:uid="{6908F565-FB85-4368-B2F7-297DF2BEFBCD}" name="CODIGO EXHIBICION" dataDxfId="335"/>
    <tableColumn id="25" xr3:uid="{AA5CE162-90D2-43B1-96A0-970F0C412A96}" name="NOMBRE EXHIBICION" dataDxfId="334"/>
    <tableColumn id="26" xr3:uid="{D2023860-446B-430D-8595-9C2C1438BED3}" name="NOMBRE USUARIO" dataDxfId="333"/>
    <tableColumn id="27" xr3:uid="{F11E0B94-0622-411D-9CA7-B259829B8A9F}" name="USUARIO" dataDxfId="332"/>
    <tableColumn id="28" xr3:uid="{E1B013E5-0581-4476-9D6C-3AFBAC21C681}" name="NOMBRE SUPERVISOR " dataDxfId="331"/>
    <tableColumn id="29" xr3:uid="{B64E6504-C110-44E6-B203-6C06A1F0FFB1}" name="USUARIO SUPERVISOR" dataDxfId="330"/>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X-s8H1oACzvA35fty4K9UX9b91Xfq0SH/view" TargetMode="External"/><Relationship Id="rId2" Type="http://schemas.openxmlformats.org/officeDocument/2006/relationships/hyperlink" Target="https://drive.google.com/file/d/1XwWPqfXlZvb88B3cSTKLog57F9yO7lr7/view" TargetMode="External"/><Relationship Id="rId1" Type="http://schemas.openxmlformats.org/officeDocument/2006/relationships/hyperlink" Target="https://drive.google.com/file/d/1xTD_FOrp9xtvriAa06FlOXCv68XCzmiX/view" TargetMode="External"/><Relationship Id="rId5" Type="http://schemas.openxmlformats.org/officeDocument/2006/relationships/hyperlink" Target="https://drive.google.com/file/d/1abCvezGqCU1ZmOXb2u7xi19jBsQPGJxb/view" TargetMode="External"/><Relationship Id="rId4" Type="http://schemas.openxmlformats.org/officeDocument/2006/relationships/hyperlink" Target="https://drive.google.com/file/d/1d05UXeDeoqZnEk22-rnJUqOPPo2LWPzt/view"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tabSelected="1" zoomScale="80" zoomScaleNormal="80" workbookViewId="0">
      <selection activeCell="D13" sqref="D13"/>
    </sheetView>
  </sheetViews>
  <sheetFormatPr baseColWidth="10" defaultColWidth="11.453125" defaultRowHeight="14.5" x14ac:dyDescent="0.35"/>
  <cols>
    <col min="1" max="1" width="38.1796875" customWidth="1"/>
    <col min="2" max="2" width="1.81640625" style="70" customWidth="1"/>
    <col min="3" max="3" width="8.54296875" customWidth="1"/>
    <col min="4" max="4" width="35.08984375" customWidth="1"/>
    <col min="5" max="5" width="16.7265625" customWidth="1"/>
    <col min="6" max="6" width="16.36328125" customWidth="1"/>
    <col min="7" max="7" width="14.26953125" customWidth="1"/>
    <col min="8" max="8" width="14.6328125" customWidth="1"/>
    <col min="9" max="9" width="11" customWidth="1"/>
    <col min="10" max="10" width="15" customWidth="1"/>
    <col min="11" max="11" width="14" customWidth="1"/>
    <col min="12" max="12" width="16.453125" customWidth="1"/>
    <col min="13" max="13" width="18.453125" customWidth="1"/>
    <col min="14" max="14" width="11.81640625" customWidth="1"/>
  </cols>
  <sheetData>
    <row r="1" spans="1:10" ht="23.5" customHeight="1" x14ac:dyDescent="0.35">
      <c r="A1" s="81" t="s">
        <v>219</v>
      </c>
    </row>
    <row r="2" spans="1:10" x14ac:dyDescent="0.35">
      <c r="A2" s="82"/>
    </row>
    <row r="3" spans="1:10" ht="20" x14ac:dyDescent="0.4">
      <c r="A3" s="82"/>
      <c r="D3" s="7" t="s">
        <v>0</v>
      </c>
      <c r="E3" s="3"/>
      <c r="F3" s="3"/>
      <c r="G3" s="3"/>
      <c r="H3" s="3"/>
      <c r="I3" s="3"/>
      <c r="J3" s="3"/>
    </row>
    <row r="4" spans="1:10" x14ac:dyDescent="0.35">
      <c r="D4" s="13" t="s">
        <v>1</v>
      </c>
      <c r="E4" s="14" t="s">
        <v>2</v>
      </c>
      <c r="F4" s="14" t="s">
        <v>3</v>
      </c>
      <c r="G4" s="15" t="s">
        <v>4</v>
      </c>
      <c r="H4" s="14" t="s">
        <v>5</v>
      </c>
      <c r="I4" s="14" t="s">
        <v>6</v>
      </c>
      <c r="J4" s="15" t="s">
        <v>7</v>
      </c>
    </row>
    <row r="5" spans="1:10" x14ac:dyDescent="0.35">
      <c r="D5" s="2" t="s">
        <v>173</v>
      </c>
      <c r="E5" s="3">
        <v>1</v>
      </c>
      <c r="F5" s="3">
        <v>1</v>
      </c>
      <c r="G5" s="4">
        <v>1</v>
      </c>
      <c r="H5" s="3">
        <v>1</v>
      </c>
      <c r="I5" s="3">
        <v>1</v>
      </c>
      <c r="J5" s="4">
        <v>1</v>
      </c>
    </row>
    <row r="6" spans="1:10" x14ac:dyDescent="0.35">
      <c r="D6" s="2" t="s">
        <v>100</v>
      </c>
      <c r="E6" s="3">
        <v>2</v>
      </c>
      <c r="F6" s="3">
        <v>2</v>
      </c>
      <c r="G6" s="4">
        <v>1</v>
      </c>
      <c r="H6" s="3">
        <v>2</v>
      </c>
      <c r="I6" s="3">
        <v>2</v>
      </c>
      <c r="J6" s="4">
        <v>1</v>
      </c>
    </row>
    <row r="7" spans="1:10" x14ac:dyDescent="0.35">
      <c r="D7" s="2" t="s">
        <v>84</v>
      </c>
      <c r="E7" s="3">
        <v>1</v>
      </c>
      <c r="F7" s="3">
        <v>1</v>
      </c>
      <c r="G7" s="4">
        <v>1</v>
      </c>
      <c r="H7" s="3">
        <v>1</v>
      </c>
      <c r="I7" s="3">
        <v>1</v>
      </c>
      <c r="J7" s="4">
        <v>1</v>
      </c>
    </row>
    <row r="8" spans="1:10" x14ac:dyDescent="0.35">
      <c r="D8" s="2" t="s">
        <v>8</v>
      </c>
      <c r="E8" s="3">
        <v>1</v>
      </c>
      <c r="F8" s="3">
        <v>1</v>
      </c>
      <c r="G8" s="4">
        <v>1</v>
      </c>
      <c r="H8" s="3">
        <v>1</v>
      </c>
      <c r="I8" s="3">
        <v>1</v>
      </c>
      <c r="J8" s="4">
        <v>1</v>
      </c>
    </row>
    <row r="9" spans="1:10" x14ac:dyDescent="0.35">
      <c r="D9" s="16" t="s">
        <v>9</v>
      </c>
      <c r="E9" s="80">
        <v>5</v>
      </c>
      <c r="F9" s="80">
        <v>5</v>
      </c>
      <c r="G9" s="12">
        <v>1</v>
      </c>
      <c r="H9" s="80">
        <v>5</v>
      </c>
      <c r="I9" s="80">
        <v>5</v>
      </c>
      <c r="J9" s="77">
        <v>1</v>
      </c>
    </row>
    <row r="15" spans="1:10" ht="20" x14ac:dyDescent="0.4">
      <c r="D15" s="7" t="s">
        <v>10</v>
      </c>
      <c r="E15" s="3"/>
      <c r="F15" s="3"/>
    </row>
    <row r="16" spans="1:10" ht="12.5" hidden="1" customHeight="1" x14ac:dyDescent="0.35">
      <c r="D16" s="1" t="s">
        <v>11</v>
      </c>
      <c r="E16" s="27" t="s">
        <v>12</v>
      </c>
      <c r="F16" s="3"/>
      <c r="G16" s="3"/>
      <c r="H16" s="3"/>
    </row>
    <row r="17" spans="4:9" x14ac:dyDescent="0.35">
      <c r="D17" s="1" t="s">
        <v>13</v>
      </c>
      <c r="E17" s="3" t="s">
        <v>15</v>
      </c>
      <c r="F17" s="3" t="s">
        <v>14</v>
      </c>
      <c r="G17" s="3" t="s">
        <v>41</v>
      </c>
      <c r="H17" s="5" t="s">
        <v>16</v>
      </c>
    </row>
    <row r="18" spans="4:9" x14ac:dyDescent="0.35">
      <c r="D18" s="2" t="s">
        <v>108</v>
      </c>
      <c r="E18" s="4">
        <v>1</v>
      </c>
      <c r="F18" s="4">
        <v>1</v>
      </c>
      <c r="G18" s="4">
        <v>1</v>
      </c>
      <c r="H18" s="4">
        <v>1</v>
      </c>
    </row>
    <row r="19" spans="4:9" x14ac:dyDescent="0.35">
      <c r="D19" s="2" t="s">
        <v>17</v>
      </c>
      <c r="E19" s="4">
        <v>1</v>
      </c>
      <c r="F19" s="4">
        <v>1</v>
      </c>
      <c r="G19" s="4">
        <v>1</v>
      </c>
      <c r="H19" s="4">
        <v>1</v>
      </c>
    </row>
    <row r="20" spans="4:9" x14ac:dyDescent="0.35">
      <c r="D20" s="2" t="s">
        <v>105</v>
      </c>
      <c r="E20" s="4">
        <v>1</v>
      </c>
      <c r="F20" s="4">
        <v>1</v>
      </c>
      <c r="G20" s="4">
        <v>1</v>
      </c>
      <c r="H20" s="4">
        <v>1</v>
      </c>
    </row>
    <row r="21" spans="4:9" x14ac:dyDescent="0.35">
      <c r="D21" s="2" t="s">
        <v>106</v>
      </c>
      <c r="E21" s="4">
        <v>1</v>
      </c>
      <c r="F21" s="4">
        <v>1</v>
      </c>
      <c r="G21" s="4">
        <v>1</v>
      </c>
      <c r="H21" s="4">
        <v>1</v>
      </c>
    </row>
    <row r="22" spans="4:9" x14ac:dyDescent="0.35">
      <c r="D22" s="2" t="s">
        <v>107</v>
      </c>
      <c r="E22" s="4">
        <v>0.95</v>
      </c>
      <c r="F22" s="4">
        <v>0.96666666666666667</v>
      </c>
      <c r="G22" s="4">
        <v>0.8</v>
      </c>
      <c r="H22" s="4">
        <v>0.93</v>
      </c>
    </row>
    <row r="23" spans="4:9" x14ac:dyDescent="0.35">
      <c r="D23" s="2" t="s">
        <v>16</v>
      </c>
      <c r="E23" s="9">
        <v>0.98499999999999999</v>
      </c>
      <c r="F23" s="9">
        <v>0.99</v>
      </c>
      <c r="G23" s="9">
        <v>0.94</v>
      </c>
      <c r="H23" s="11">
        <v>0.97899999999999998</v>
      </c>
    </row>
    <row r="29" spans="4:9" ht="20" x14ac:dyDescent="0.35">
      <c r="D29" s="8" t="s">
        <v>18</v>
      </c>
      <c r="E29" s="3"/>
      <c r="F29" s="3"/>
      <c r="G29" s="3"/>
      <c r="H29" s="3"/>
    </row>
    <row r="30" spans="4:9" hidden="1" x14ac:dyDescent="0.35">
      <c r="D30" s="1" t="s">
        <v>11</v>
      </c>
      <c r="E30" s="27" t="s">
        <v>12</v>
      </c>
      <c r="F30" s="3"/>
      <c r="G30" s="3"/>
      <c r="H30" s="3"/>
      <c r="I30" s="3"/>
    </row>
    <row r="31" spans="4:9" x14ac:dyDescent="0.35">
      <c r="D31" s="1" t="s">
        <v>13</v>
      </c>
      <c r="E31" s="3" t="s">
        <v>8</v>
      </c>
      <c r="F31" s="3" t="s">
        <v>100</v>
      </c>
      <c r="G31" s="3" t="s">
        <v>173</v>
      </c>
      <c r="H31" s="3" t="s">
        <v>84</v>
      </c>
      <c r="I31" s="5" t="s">
        <v>16</v>
      </c>
    </row>
    <row r="32" spans="4:9" x14ac:dyDescent="0.35">
      <c r="D32" s="2" t="s">
        <v>108</v>
      </c>
      <c r="E32" s="4">
        <v>1</v>
      </c>
      <c r="F32" s="4">
        <v>1</v>
      </c>
      <c r="G32" s="4">
        <v>1</v>
      </c>
      <c r="H32" s="4">
        <v>1</v>
      </c>
      <c r="I32" s="4">
        <v>1</v>
      </c>
    </row>
    <row r="33" spans="4:12" x14ac:dyDescent="0.35">
      <c r="D33" s="2" t="s">
        <v>17</v>
      </c>
      <c r="E33" s="4">
        <v>1</v>
      </c>
      <c r="F33" s="4">
        <v>1</v>
      </c>
      <c r="G33" s="4">
        <v>1</v>
      </c>
      <c r="H33" s="4">
        <v>1</v>
      </c>
      <c r="I33" s="4">
        <v>1</v>
      </c>
    </row>
    <row r="34" spans="4:12" x14ac:dyDescent="0.35">
      <c r="D34" s="2" t="s">
        <v>105</v>
      </c>
      <c r="E34" s="4">
        <v>1</v>
      </c>
      <c r="F34" s="4">
        <v>1</v>
      </c>
      <c r="G34" s="4">
        <v>1</v>
      </c>
      <c r="H34" s="4">
        <v>1</v>
      </c>
      <c r="I34" s="4">
        <v>1</v>
      </c>
    </row>
    <row r="35" spans="4:12" x14ac:dyDescent="0.35">
      <c r="D35" s="2" t="s">
        <v>106</v>
      </c>
      <c r="E35" s="4">
        <v>1</v>
      </c>
      <c r="F35" s="4">
        <v>1</v>
      </c>
      <c r="G35" s="4">
        <v>1</v>
      </c>
      <c r="H35" s="4">
        <v>1</v>
      </c>
      <c r="I35" s="4">
        <v>1</v>
      </c>
    </row>
    <row r="36" spans="4:12" x14ac:dyDescent="0.35">
      <c r="D36" s="2" t="s">
        <v>107</v>
      </c>
      <c r="E36" s="4">
        <v>0.9</v>
      </c>
      <c r="F36" s="4">
        <v>0.9</v>
      </c>
      <c r="G36" s="4">
        <v>0.95</v>
      </c>
      <c r="H36" s="4">
        <v>1</v>
      </c>
      <c r="I36" s="4">
        <v>0.93</v>
      </c>
    </row>
    <row r="37" spans="4:12" x14ac:dyDescent="0.35">
      <c r="D37" s="2" t="s">
        <v>16</v>
      </c>
      <c r="E37" s="9">
        <v>0.97</v>
      </c>
      <c r="F37" s="9">
        <v>0.97</v>
      </c>
      <c r="G37" s="9">
        <v>0.98499999999999999</v>
      </c>
      <c r="H37" s="9">
        <v>1</v>
      </c>
      <c r="I37" s="11">
        <v>0.97899999999999998</v>
      </c>
    </row>
    <row r="41" spans="4:12" x14ac:dyDescent="0.35">
      <c r="E41" s="3"/>
      <c r="F41" s="3"/>
      <c r="G41" s="3"/>
      <c r="H41" s="3"/>
    </row>
    <row r="42" spans="4:12" x14ac:dyDescent="0.35">
      <c r="F42" s="3"/>
      <c r="G42" s="3"/>
      <c r="H42" s="3"/>
    </row>
    <row r="43" spans="4:12" hidden="1" x14ac:dyDescent="0.35">
      <c r="D43" s="13" t="s">
        <v>19</v>
      </c>
      <c r="E43" t="s">
        <v>20</v>
      </c>
    </row>
    <row r="44" spans="4:12" ht="20" x14ac:dyDescent="0.4">
      <c r="D44" s="7" t="s">
        <v>21</v>
      </c>
    </row>
    <row r="45" spans="4:12" hidden="1" x14ac:dyDescent="0.35">
      <c r="D45" s="1" t="s">
        <v>11</v>
      </c>
      <c r="G45" s="1" t="s">
        <v>13</v>
      </c>
    </row>
    <row r="46" spans="4:12" ht="43.5" x14ac:dyDescent="0.35">
      <c r="D46" s="18" t="s">
        <v>1</v>
      </c>
      <c r="E46" s="18" t="s">
        <v>22</v>
      </c>
      <c r="F46" s="18" t="s">
        <v>23</v>
      </c>
      <c r="G46" s="33" t="s">
        <v>106</v>
      </c>
      <c r="H46" s="33" t="s">
        <v>17</v>
      </c>
      <c r="I46" s="33" t="s">
        <v>108</v>
      </c>
      <c r="J46" s="33" t="s">
        <v>107</v>
      </c>
      <c r="K46" s="33" t="s">
        <v>105</v>
      </c>
      <c r="L46" s="17" t="s">
        <v>16</v>
      </c>
    </row>
    <row r="47" spans="4:12" x14ac:dyDescent="0.35">
      <c r="D47" s="10" t="s">
        <v>8</v>
      </c>
      <c r="E47" t="s">
        <v>14</v>
      </c>
      <c r="F47" t="s">
        <v>151</v>
      </c>
      <c r="G47" s="4">
        <v>1</v>
      </c>
      <c r="H47" s="4">
        <v>1</v>
      </c>
      <c r="I47" s="4">
        <v>1</v>
      </c>
      <c r="J47" s="4">
        <v>0.9</v>
      </c>
      <c r="K47" s="4">
        <v>1</v>
      </c>
      <c r="L47" s="4">
        <v>0.97</v>
      </c>
    </row>
    <row r="48" spans="4:12" x14ac:dyDescent="0.35">
      <c r="D48" t="s">
        <v>100</v>
      </c>
      <c r="E48" t="s">
        <v>14</v>
      </c>
      <c r="F48" t="s">
        <v>168</v>
      </c>
      <c r="G48" s="4">
        <v>1</v>
      </c>
      <c r="H48" s="4">
        <v>1</v>
      </c>
      <c r="I48" s="4">
        <v>1</v>
      </c>
      <c r="J48" s="4">
        <v>1</v>
      </c>
      <c r="K48" s="4">
        <v>1</v>
      </c>
      <c r="L48" s="4">
        <v>1</v>
      </c>
    </row>
    <row r="49" spans="4:12" x14ac:dyDescent="0.35">
      <c r="D49" t="s">
        <v>100</v>
      </c>
      <c r="E49" t="s">
        <v>41</v>
      </c>
      <c r="F49" t="s">
        <v>158</v>
      </c>
      <c r="G49" s="4">
        <v>1</v>
      </c>
      <c r="H49" s="4">
        <v>1</v>
      </c>
      <c r="I49" s="4">
        <v>1</v>
      </c>
      <c r="J49" s="4">
        <v>0.8</v>
      </c>
      <c r="K49" s="4">
        <v>1</v>
      </c>
      <c r="L49" s="4">
        <v>0.94</v>
      </c>
    </row>
    <row r="50" spans="4:12" x14ac:dyDescent="0.35">
      <c r="D50" t="s">
        <v>173</v>
      </c>
      <c r="E50" t="s">
        <v>15</v>
      </c>
      <c r="F50" t="s">
        <v>175</v>
      </c>
      <c r="G50" s="4">
        <v>1</v>
      </c>
      <c r="H50" s="4">
        <v>1</v>
      </c>
      <c r="I50" s="4">
        <v>1</v>
      </c>
      <c r="J50" s="4">
        <v>0.95</v>
      </c>
      <c r="K50" s="4">
        <v>1</v>
      </c>
      <c r="L50" s="4">
        <v>0.98499999999999999</v>
      </c>
    </row>
    <row r="51" spans="4:12" x14ac:dyDescent="0.35">
      <c r="D51" t="s">
        <v>84</v>
      </c>
      <c r="E51" t="s">
        <v>14</v>
      </c>
      <c r="F51" t="s">
        <v>181</v>
      </c>
      <c r="G51" s="4">
        <v>1</v>
      </c>
      <c r="H51" s="4">
        <v>1</v>
      </c>
      <c r="I51" s="4">
        <v>1</v>
      </c>
      <c r="J51" s="4">
        <v>1</v>
      </c>
      <c r="K51" s="4">
        <v>1</v>
      </c>
      <c r="L51" s="4">
        <v>1</v>
      </c>
    </row>
    <row r="52" spans="4:12" x14ac:dyDescent="0.35">
      <c r="D52" s="10" t="s">
        <v>16</v>
      </c>
      <c r="E52" s="10"/>
      <c r="F52" s="10"/>
      <c r="G52" s="74">
        <v>1</v>
      </c>
      <c r="H52" s="74">
        <v>1</v>
      </c>
      <c r="I52" s="74">
        <v>1</v>
      </c>
      <c r="J52" s="74">
        <v>0.93</v>
      </c>
      <c r="K52" s="74">
        <v>1</v>
      </c>
      <c r="L52" s="11">
        <v>0.97899999999999998</v>
      </c>
    </row>
    <row r="59" spans="4:12" x14ac:dyDescent="0.35">
      <c r="K59" s="4"/>
    </row>
    <row r="77" spans="21:21" x14ac:dyDescent="0.3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102" id="{A7410DC0-EE9E-4584-A866-672877DBC4E6}">
            <x14:iconSet iconSet="3Triangles">
              <x14:cfvo type="percent">
                <xm:f>0</xm:f>
              </x14:cfvo>
              <x14:cfvo type="percent">
                <xm:f>33</xm:f>
              </x14:cfvo>
              <x14:cfvo type="percent">
                <xm:f>67</xm:f>
              </x14:cfvo>
            </x14:iconSet>
          </x14:cfRule>
          <xm:sqref>H18:H23</xm:sqref>
        </x14:conditionalFormatting>
        <x14:conditionalFormatting xmlns:xm="http://schemas.microsoft.com/office/excel/2006/main" pivot="1">
          <x14:cfRule type="iconSet" priority="99" id="{578A6BBE-0746-49B8-A379-5CA92DEB79AA}">
            <x14:iconSet iconSet="3Triangles">
              <x14:cfvo type="percent">
                <xm:f>0</xm:f>
              </x14:cfvo>
              <x14:cfvo type="percent">
                <xm:f>33</xm:f>
              </x14:cfvo>
              <x14:cfvo type="percent">
                <xm:f>67</xm:f>
              </x14:cfvo>
            </x14:iconSet>
          </x14:cfRule>
          <xm:sqref>I32:I36</xm:sqref>
        </x14:conditionalFormatting>
        <x14:conditionalFormatting xmlns:xm="http://schemas.microsoft.com/office/excel/2006/main">
          <x14:cfRule type="iconSet" priority="90"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21"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0" id="{84DE4F07-E727-4C73-AE29-1D4C44E1922B}">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5"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2" id="{FEDEA57B-B43C-4ADF-B15A-40144AAD63D3}">
            <x14:iconSet iconSet="3Triangles">
              <x14:cfvo type="percent">
                <xm:f>0</xm:f>
              </x14:cfvo>
              <x14:cfvo type="percent">
                <xm:f>33</xm:f>
              </x14:cfvo>
              <x14:cfvo type="percent">
                <xm:f>67</xm:f>
              </x14:cfvo>
            </x14:iconSet>
          </x14:cfRule>
          <xm:sqref>L47:L52</xm:sqref>
        </x14:conditionalFormatting>
        <x14:conditionalFormatting xmlns:xm="http://schemas.microsoft.com/office/excel/2006/main" pivot="1">
          <x14:cfRule type="iconSet" priority="11"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10" id="{D07F4ABB-167C-4C29-B4DC-F2C854E5FF8F}">
            <x14:iconSet iconSet="3Triangles">
              <x14:cfvo type="percent">
                <xm:f>0</xm:f>
              </x14:cfvo>
              <x14:cfvo type="percent">
                <xm:f>33</xm:f>
              </x14:cfvo>
              <x14:cfvo type="percent">
                <xm:f>67</xm:f>
              </x14:cfvo>
            </x14:iconSet>
          </x14:cfRule>
          <xm:sqref>E32:F37 H32:H37</xm:sqref>
        </x14:conditionalFormatting>
        <x14:conditionalFormatting xmlns:xm="http://schemas.microsoft.com/office/excel/2006/main" pivot="1">
          <x14:cfRule type="iconSet" priority="8" id="{FD37CB4B-EA35-45C1-B033-CBB122F3F452}">
            <x14:iconSet iconSet="3Triangles">
              <x14:cfvo type="percent">
                <xm:f>0</xm:f>
              </x14:cfvo>
              <x14:cfvo type="percent">
                <xm:f>33</xm:f>
              </x14:cfvo>
              <x14:cfvo type="percent">
                <xm:f>67</xm:f>
              </x14:cfvo>
            </x14:iconSet>
          </x14:cfRule>
          <xm:sqref>G32:G37</xm:sqref>
        </x14:conditionalFormatting>
        <x14:conditionalFormatting xmlns:xm="http://schemas.microsoft.com/office/excel/2006/main">
          <x14:cfRule type="iconSet" priority="7" id="{AE18C136-24F2-4062-912A-92E3FD4B42F4}">
            <x14:iconSet iconSet="3Triangles">
              <x14:cfvo type="percent">
                <xm:f>0</xm:f>
              </x14:cfvo>
              <x14:cfvo type="percent">
                <xm:f>33</xm:f>
              </x14:cfvo>
              <x14:cfvo type="percent">
                <xm:f>67</xm:f>
              </x14:cfvo>
            </x14:iconSet>
          </x14:cfRule>
          <xm:sqref>K59</xm:sqref>
        </x14:conditionalFormatting>
        <x14:conditionalFormatting xmlns:xm="http://schemas.microsoft.com/office/excel/2006/main" pivot="1">
          <x14:cfRule type="iconSet" priority="6" id="{BAE3BAAD-2855-4541-9A0D-5874056A0CCE}">
            <x14:iconSet iconSet="3Triangles">
              <x14:cfvo type="percent">
                <xm:f>0</xm:f>
              </x14:cfvo>
              <x14:cfvo type="percent">
                <xm:f>33</xm:f>
              </x14:cfvo>
              <x14:cfvo type="percent">
                <xm:f>67</xm:f>
              </x14:cfvo>
            </x14:iconSet>
          </x14:cfRule>
          <xm:sqref>G47:J52</xm:sqref>
        </x14:conditionalFormatting>
        <x14:conditionalFormatting xmlns:xm="http://schemas.microsoft.com/office/excel/2006/main" pivot="1">
          <x14:cfRule type="iconSet" priority="4" id="{793DEEDE-EB15-454C-9A1A-47BBA1A3B90B}">
            <x14:iconSet iconSet="3Triangles">
              <x14:cfvo type="percent">
                <xm:f>0</xm:f>
              </x14:cfvo>
              <x14:cfvo type="percent">
                <xm:f>33</xm:f>
              </x14:cfvo>
              <x14:cfvo type="percent">
                <xm:f>67</xm:f>
              </x14:cfvo>
            </x14:iconSet>
          </x14:cfRule>
          <xm:sqref>K47:K52</xm:sqref>
        </x14:conditionalFormatting>
        <x14:conditionalFormatting xmlns:xm="http://schemas.microsoft.com/office/excel/2006/main" pivot="1">
          <x14:cfRule type="iconSet" priority="3" id="{79EF4831-482A-49D1-9743-8F2E35D01FCC}">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 id="{1A50011A-7144-4BA5-9551-74A12994C23A}">
            <x14:iconSet iconSet="3Triangles">
              <x14:cfvo type="percent">
                <xm:f>0</xm:f>
              </x14:cfvo>
              <x14:cfvo type="percent">
                <xm:f>33</xm:f>
              </x14:cfvo>
              <x14:cfvo type="percent">
                <xm:f>67</xm:f>
              </x14:cfvo>
            </x14:iconSet>
          </x14:cfRule>
          <xm:sqref>I37</xm:sqref>
        </x14:conditionalFormatting>
        <x14:conditionalFormatting xmlns:xm="http://schemas.microsoft.com/office/excel/2006/main" pivot="1">
          <x14:cfRule type="iconSet" priority="1" id="{2B5C1FB9-92FD-4770-9D69-94FED7A884CD}">
            <x14:iconSet iconSet="3Triangles">
              <x14:cfvo type="percent">
                <xm:f>0</xm:f>
              </x14:cfvo>
              <x14:cfvo type="percent">
                <xm:f>33</xm:f>
              </x14:cfvo>
              <x14:cfvo type="percent">
                <xm:f>67</xm:f>
              </x14:cfvo>
            </x14:iconSet>
          </x14:cfRule>
          <xm:sqref>G18:G23</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H6"/>
  <sheetViews>
    <sheetView showGridLines="0" workbookViewId="0">
      <selection activeCell="C6" sqref="C6"/>
    </sheetView>
  </sheetViews>
  <sheetFormatPr baseColWidth="10" defaultRowHeight="14.5" x14ac:dyDescent="0.35"/>
  <cols>
    <col min="1" max="1" width="14.26953125" bestFit="1" customWidth="1"/>
    <col min="2" max="2" width="54.1796875" bestFit="1" customWidth="1"/>
    <col min="3" max="8" width="13.26953125" customWidth="1"/>
  </cols>
  <sheetData>
    <row r="1" spans="1:8" x14ac:dyDescent="0.35">
      <c r="A1" s="71" t="s">
        <v>1</v>
      </c>
      <c r="B1" s="71" t="s">
        <v>23</v>
      </c>
      <c r="C1" s="72" t="s">
        <v>76</v>
      </c>
      <c r="D1" s="72" t="s">
        <v>77</v>
      </c>
      <c r="E1" s="72" t="s">
        <v>78</v>
      </c>
      <c r="F1" s="73" t="s">
        <v>81</v>
      </c>
      <c r="G1" s="73" t="s">
        <v>82</v>
      </c>
      <c r="H1" s="72" t="s">
        <v>120</v>
      </c>
    </row>
    <row r="2" spans="1:8" x14ac:dyDescent="0.35">
      <c r="A2" s="56" t="s">
        <v>84</v>
      </c>
      <c r="B2" s="57" t="s">
        <v>181</v>
      </c>
      <c r="C2" s="58" t="s">
        <v>220</v>
      </c>
      <c r="D2" s="20" t="s">
        <v>79</v>
      </c>
      <c r="E2" s="20" t="s">
        <v>79</v>
      </c>
      <c r="F2" s="20" t="s">
        <v>79</v>
      </c>
      <c r="G2" s="20" t="s">
        <v>79</v>
      </c>
      <c r="H2" s="20" t="s">
        <v>79</v>
      </c>
    </row>
    <row r="3" spans="1:8" x14ac:dyDescent="0.35">
      <c r="A3" s="56" t="s">
        <v>8</v>
      </c>
      <c r="B3" s="57" t="s">
        <v>151</v>
      </c>
      <c r="C3" s="58" t="s">
        <v>221</v>
      </c>
      <c r="D3" s="20" t="s">
        <v>79</v>
      </c>
      <c r="E3" s="20" t="s">
        <v>79</v>
      </c>
      <c r="F3" s="20" t="s">
        <v>79</v>
      </c>
      <c r="G3" s="20" t="s">
        <v>79</v>
      </c>
      <c r="H3" s="20" t="s">
        <v>79</v>
      </c>
    </row>
    <row r="4" spans="1:8" x14ac:dyDescent="0.35">
      <c r="A4" s="56" t="s">
        <v>100</v>
      </c>
      <c r="B4" s="57" t="s">
        <v>158</v>
      </c>
      <c r="C4" s="58" t="s">
        <v>223</v>
      </c>
      <c r="D4" s="20" t="s">
        <v>79</v>
      </c>
      <c r="E4" s="20" t="s">
        <v>79</v>
      </c>
      <c r="F4" s="20" t="s">
        <v>79</v>
      </c>
      <c r="G4" s="20" t="s">
        <v>79</v>
      </c>
      <c r="H4" s="20" t="s">
        <v>79</v>
      </c>
    </row>
    <row r="5" spans="1:8" x14ac:dyDescent="0.35">
      <c r="A5" s="56" t="s">
        <v>100</v>
      </c>
      <c r="B5" s="57" t="s">
        <v>168</v>
      </c>
      <c r="C5" s="58" t="s">
        <v>222</v>
      </c>
      <c r="D5" s="20" t="s">
        <v>79</v>
      </c>
      <c r="E5" s="20" t="s">
        <v>79</v>
      </c>
      <c r="F5" s="20" t="s">
        <v>79</v>
      </c>
      <c r="G5" s="20" t="s">
        <v>79</v>
      </c>
      <c r="H5" s="20" t="s">
        <v>79</v>
      </c>
    </row>
    <row r="6" spans="1:8" x14ac:dyDescent="0.35">
      <c r="A6" s="56" t="s">
        <v>173</v>
      </c>
      <c r="B6" s="57" t="s">
        <v>175</v>
      </c>
      <c r="C6" s="58" t="s">
        <v>224</v>
      </c>
      <c r="D6" s="20" t="s">
        <v>79</v>
      </c>
      <c r="E6" s="20" t="s">
        <v>79</v>
      </c>
      <c r="F6" s="20" t="s">
        <v>79</v>
      </c>
      <c r="G6" s="20" t="s">
        <v>79</v>
      </c>
      <c r="H6" s="20" t="s">
        <v>79</v>
      </c>
    </row>
  </sheetData>
  <autoFilter ref="A1:C6" xr:uid="{31D98C9D-50A1-466F-A4CF-A3BF379C3F7F}"/>
  <phoneticPr fontId="3" type="noConversion"/>
  <hyperlinks>
    <hyperlink ref="C2" r:id="rId1" xr:uid="{8EA34958-2D92-4FD8-AF9D-3CA9302A0471}"/>
    <hyperlink ref="C3" r:id="rId2" xr:uid="{090D5506-EE22-4F37-A709-8B3F73A65DE6}"/>
    <hyperlink ref="C4" r:id="rId3" xr:uid="{607632D0-AAB1-480C-B393-7B507FFA8A7E}"/>
    <hyperlink ref="C5" r:id="rId4" xr:uid="{A47D8CE9-A20F-4AFB-9C86-BFCEA7C40140}"/>
    <hyperlink ref="C6" r:id="rId5" xr:uid="{D508207C-9439-4DA5-AFB7-A2F94E9D3BD8}"/>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335"/>
  <sheetViews>
    <sheetView showGridLines="0" zoomScale="80" zoomScaleNormal="80" workbookViewId="0"/>
  </sheetViews>
  <sheetFormatPr baseColWidth="10" defaultColWidth="11.453125" defaultRowHeight="14.5" x14ac:dyDescent="0.35"/>
  <cols>
    <col min="1" max="3" width="14.08984375" bestFit="1" customWidth="1"/>
    <col min="4" max="4" width="11" bestFit="1" customWidth="1"/>
    <col min="5" max="5" width="14.90625" bestFit="1" customWidth="1"/>
    <col min="6" max="6" width="31.54296875" bestFit="1" customWidth="1"/>
    <col min="7" max="7" width="80.7265625" bestFit="1" customWidth="1"/>
    <col min="8" max="8" width="27.36328125" bestFit="1" customWidth="1"/>
    <col min="9" max="9" width="21" hidden="1" customWidth="1"/>
    <col min="10" max="10" width="15.81640625" bestFit="1" customWidth="1"/>
    <col min="11" max="11" width="14.453125" bestFit="1" customWidth="1"/>
    <col min="12" max="12" width="20.36328125" bestFit="1" customWidth="1"/>
    <col min="13" max="13" width="34.6328125" bestFit="1" customWidth="1"/>
    <col min="14" max="14" width="16.90625" bestFit="1" customWidth="1"/>
    <col min="15" max="15" width="16.54296875" bestFit="1" customWidth="1"/>
    <col min="16" max="16" width="20.81640625" bestFit="1" customWidth="1"/>
    <col min="17" max="17" width="12.453125" hidden="1" customWidth="1"/>
    <col min="18" max="18" width="12.453125" bestFit="1" customWidth="1" collapsed="1"/>
    <col min="19" max="19" width="12.453125" bestFit="1" customWidth="1"/>
    <col min="22" max="23" width="0" hidden="1" customWidth="1"/>
  </cols>
  <sheetData>
    <row r="1" spans="1:21" x14ac:dyDescent="0.35">
      <c r="A1" t="s">
        <v>24</v>
      </c>
      <c r="B1" t="s">
        <v>1</v>
      </c>
      <c r="C1" t="s">
        <v>22</v>
      </c>
      <c r="D1" t="s">
        <v>25</v>
      </c>
      <c r="E1" t="s">
        <v>26</v>
      </c>
      <c r="F1" t="s">
        <v>23</v>
      </c>
      <c r="G1" t="s">
        <v>27</v>
      </c>
      <c r="H1" t="s">
        <v>28</v>
      </c>
      <c r="I1" t="s">
        <v>29</v>
      </c>
      <c r="J1" t="s">
        <v>30</v>
      </c>
      <c r="K1" t="s">
        <v>31</v>
      </c>
      <c r="L1" s="22" t="s">
        <v>19</v>
      </c>
      <c r="M1" t="s">
        <v>13</v>
      </c>
      <c r="N1" t="s">
        <v>32</v>
      </c>
      <c r="O1" s="23" t="s">
        <v>33</v>
      </c>
      <c r="P1" t="s">
        <v>34</v>
      </c>
      <c r="Q1" t="s">
        <v>72</v>
      </c>
      <c r="R1" t="s">
        <v>80</v>
      </c>
      <c r="T1" t="s">
        <v>73</v>
      </c>
      <c r="U1" t="s">
        <v>74</v>
      </c>
    </row>
    <row r="2" spans="1:21" x14ac:dyDescent="0.35">
      <c r="A2" s="35" t="s">
        <v>95</v>
      </c>
      <c r="B2" s="35" t="s">
        <v>8</v>
      </c>
      <c r="C2" t="s">
        <v>14</v>
      </c>
      <c r="D2" s="35" t="s">
        <v>142</v>
      </c>
      <c r="E2" s="35">
        <v>424858</v>
      </c>
      <c r="F2" s="35" t="s">
        <v>151</v>
      </c>
      <c r="G2" s="35" t="s">
        <v>109</v>
      </c>
      <c r="H2" s="35" t="s">
        <v>20</v>
      </c>
      <c r="I2" s="36"/>
      <c r="J2" s="35">
        <v>30182843</v>
      </c>
      <c r="K2" s="35" t="s">
        <v>98</v>
      </c>
      <c r="L2" s="35" t="str">
        <f>_xlfn.XLOOKUP(Tabla2__2[[#This Row],[CODIGO RUTA]],'DATA INFORME'!I:I,'DATA INFORME'!K:K)</f>
        <v>SI</v>
      </c>
      <c r="M2" s="35" t="str">
        <f>IF(Tabla2__2[[#This Row],[MYSTERY EFECTIVO]]="SI",_xlfn.XLOOKUP(Tabla2__2[[#This Row],[PREGUNTA]],ENCUESTA!G:G,ENCUESTA!D:D),"N/A")</f>
        <v>N/A</v>
      </c>
      <c r="N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5">
        <f>_xlfn.XLOOKUP(Tabla2__2[[#This Row],[PREGUNTA]],ENCUESTA!G:G,ENCUESTA!H:H)</f>
        <v>0</v>
      </c>
      <c r="P2" s="35">
        <f>IF(Tabla2__2[[#This Row],[RTA]]=Tabla2__2[[#This Row],[RTA CORRECTA]],Tabla2__2[[#This Row],[TOTAL PUNTAJE]],0)</f>
        <v>0</v>
      </c>
      <c r="Q2" s="35">
        <f>IF(OR(H2="Dog Chow húmedo",H2="Cat Chow húmedo",H2="Fancy Feast",H2="Felix",H2="Proplan húmedo",H2="One húmedo",H2="Snack Abrazzos",H2="Snak Dentalife",H2="Arenilla Tidy Cat"),N2,0)</f>
        <v>0</v>
      </c>
      <c r="R2" s="35"/>
    </row>
    <row r="3" spans="1:21" x14ac:dyDescent="0.35">
      <c r="A3" s="35" t="s">
        <v>95</v>
      </c>
      <c r="B3" s="35" t="s">
        <v>173</v>
      </c>
      <c r="C3" t="s">
        <v>15</v>
      </c>
      <c r="D3" s="35" t="s">
        <v>85</v>
      </c>
      <c r="E3" s="35">
        <v>424810</v>
      </c>
      <c r="F3" s="35" t="s">
        <v>175</v>
      </c>
      <c r="G3" s="35" t="s">
        <v>129</v>
      </c>
      <c r="H3" s="35" t="s">
        <v>20</v>
      </c>
      <c r="I3" s="36"/>
      <c r="J3" s="35">
        <v>30249632</v>
      </c>
      <c r="K3" s="35" t="s">
        <v>104</v>
      </c>
      <c r="L3" s="35" t="str">
        <f>_xlfn.XLOOKUP(Tabla2__2[[#This Row],[CODIGO RUTA]],'DATA INFORME'!I:I,'DATA INFORME'!K:K)</f>
        <v>SI</v>
      </c>
      <c r="M3" s="35" t="str">
        <f>IF(Tabla2__2[[#This Row],[MYSTERY EFECTIVO]]="SI",_xlfn.XLOOKUP(Tabla2__2[[#This Row],[PREGUNTA]],ENCUESTA!G:G,ENCUESTA!D:D),"N/A")</f>
        <v>ABORDAJE</v>
      </c>
      <c r="N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 s="35" t="str">
        <f>_xlfn.XLOOKUP(Tabla2__2[[#This Row],[PREGUNTA]],ENCUESTA!G:G,ENCUESTA!H:H)</f>
        <v>SI</v>
      </c>
      <c r="P3" s="35">
        <f>IF(Tabla2__2[[#This Row],[RTA]]=Tabla2__2[[#This Row],[RTA CORRECTA]],Tabla2__2[[#This Row],[TOTAL PUNTAJE]],0)</f>
        <v>20</v>
      </c>
      <c r="Q3" s="35">
        <f>IF(OR(H3="Dog Chow húmedo",H3="Cat Chow húmedo",H3="Fancy Feast",H3="Felix",H3="Proplan húmedo",H3="One húmedo",H3="Snack Abrazzos",H3="Snak Dentalife",H3="Arenilla Tidy Cat"),N3,0)</f>
        <v>0</v>
      </c>
      <c r="R3" s="35"/>
    </row>
    <row r="4" spans="1:21" x14ac:dyDescent="0.35">
      <c r="A4" s="35" t="s">
        <v>95</v>
      </c>
      <c r="B4" s="35" t="s">
        <v>173</v>
      </c>
      <c r="C4" t="s">
        <v>15</v>
      </c>
      <c r="D4" s="35" t="s">
        <v>85</v>
      </c>
      <c r="E4" s="35">
        <v>424810</v>
      </c>
      <c r="F4" s="35" t="s">
        <v>175</v>
      </c>
      <c r="G4" s="35" t="s">
        <v>121</v>
      </c>
      <c r="H4" s="35" t="s">
        <v>20</v>
      </c>
      <c r="I4" s="36"/>
      <c r="J4" s="35">
        <v>30249632</v>
      </c>
      <c r="K4" s="35" t="s">
        <v>104</v>
      </c>
      <c r="L4" s="35" t="str">
        <f>_xlfn.XLOOKUP(Tabla2__2[[#This Row],[CODIGO RUTA]],'DATA INFORME'!I:I,'DATA INFORME'!K:K)</f>
        <v>SI</v>
      </c>
      <c r="M4" s="35" t="str">
        <f>IF(Tabla2__2[[#This Row],[MYSTERY EFECTIVO]]="SI",_xlfn.XLOOKUP(Tabla2__2[[#This Row],[PREGUNTA]],ENCUESTA!G:G,ENCUESTA!D:D),"N/A")</f>
        <v>PORTAFOLIO Y MANEJO DE OBJECIONES</v>
      </c>
      <c r="N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 s="35" t="str">
        <f>_xlfn.XLOOKUP(Tabla2__2[[#This Row],[PREGUNTA]],ENCUESTA!G:G,ENCUESTA!H:H)</f>
        <v>SI</v>
      </c>
      <c r="P4" s="35">
        <f>IF(Tabla2__2[[#This Row],[RTA]]=Tabla2__2[[#This Row],[RTA CORRECTA]],Tabla2__2[[#This Row],[TOTAL PUNTAJE]],0)</f>
        <v>1.5</v>
      </c>
      <c r="Q4" s="35">
        <f>IF(OR(H4="Dog Chow húmedo",H4="Cat Chow húmedo",H4="Fancy Feast",H4="Felix",H4="Proplan húmedo",H4="One húmedo",H4="Snack Abrazzos",H4="Snak Dentalife",H4="Arenilla Tidy Cat"),N4,0)</f>
        <v>0</v>
      </c>
      <c r="R4" s="35"/>
    </row>
    <row r="5" spans="1:21" x14ac:dyDescent="0.35">
      <c r="A5" s="35" t="s">
        <v>95</v>
      </c>
      <c r="B5" s="35" t="s">
        <v>173</v>
      </c>
      <c r="C5" t="s">
        <v>15</v>
      </c>
      <c r="D5" s="35" t="s">
        <v>85</v>
      </c>
      <c r="E5" s="35">
        <v>424810</v>
      </c>
      <c r="F5" s="35" t="s">
        <v>175</v>
      </c>
      <c r="G5" s="35" t="s">
        <v>131</v>
      </c>
      <c r="H5" s="35" t="s">
        <v>94</v>
      </c>
      <c r="I5" s="36"/>
      <c r="J5" s="35">
        <v>30249632</v>
      </c>
      <c r="K5" s="35" t="s">
        <v>104</v>
      </c>
      <c r="L5" s="35" t="str">
        <f>_xlfn.XLOOKUP(Tabla2__2[[#This Row],[CODIGO RUTA]],'DATA INFORME'!I:I,'DATA INFORME'!K:K)</f>
        <v>SI</v>
      </c>
      <c r="M5" s="35" t="str">
        <f>IF(Tabla2__2[[#This Row],[MYSTERY EFECTIVO]]="SI",_xlfn.XLOOKUP(Tabla2__2[[#This Row],[PREGUNTA]],ENCUESTA!G:G,ENCUESTA!D:D),"N/A")</f>
        <v>PORTAFOLIO Y MANEJO DE OBJECIONES</v>
      </c>
      <c r="N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 s="35" t="str">
        <f>_xlfn.XLOOKUP(Tabla2__2[[#This Row],[PREGUNTA]],ENCUESTA!G:G,ENCUESTA!H:H)</f>
        <v>SI</v>
      </c>
      <c r="P5" s="35">
        <f>IF(Tabla2__2[[#This Row],[RTA]]=Tabla2__2[[#This Row],[RTA CORRECTA]],Tabla2__2[[#This Row],[TOTAL PUNTAJE]],0)</f>
        <v>0</v>
      </c>
      <c r="Q5" s="35">
        <f>IF(OR(H5="Dog Chow húmedo",H5="Cat Chow húmedo",H5="Fancy Feast",H5="Felix",H5="Proplan húmedo",H5="One húmedo",H5="Snack Abrazzos",H5="Snak Dentalife",H5="Arenilla Tidy Cat"),N5,0)</f>
        <v>0</v>
      </c>
      <c r="R5" s="35"/>
    </row>
    <row r="6" spans="1:21" x14ac:dyDescent="0.35">
      <c r="A6" s="35" t="s">
        <v>95</v>
      </c>
      <c r="B6" s="35" t="s">
        <v>173</v>
      </c>
      <c r="C6" t="s">
        <v>15</v>
      </c>
      <c r="D6" s="35" t="s">
        <v>85</v>
      </c>
      <c r="E6" s="35">
        <v>424810</v>
      </c>
      <c r="F6" s="35" t="s">
        <v>175</v>
      </c>
      <c r="G6" s="35" t="s">
        <v>132</v>
      </c>
      <c r="H6" s="35" t="s">
        <v>20</v>
      </c>
      <c r="I6" s="36"/>
      <c r="J6" s="35">
        <v>30249632</v>
      </c>
      <c r="K6" s="35" t="s">
        <v>104</v>
      </c>
      <c r="L6" s="35" t="str">
        <f>_xlfn.XLOOKUP(Tabla2__2[[#This Row],[CODIGO RUTA]],'DATA INFORME'!I:I,'DATA INFORME'!K:K)</f>
        <v>SI</v>
      </c>
      <c r="M6" s="35" t="str">
        <f>IF(Tabla2__2[[#This Row],[MYSTERY EFECTIVO]]="SI",_xlfn.XLOOKUP(Tabla2__2[[#This Row],[PREGUNTA]],ENCUESTA!G:G,ENCUESTA!D:D),"N/A")</f>
        <v>PORTAFOLIO Y MANEJO DE OBJECIONES</v>
      </c>
      <c r="N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 s="35" t="str">
        <f>_xlfn.XLOOKUP(Tabla2__2[[#This Row],[PREGUNTA]],ENCUESTA!G:G,ENCUESTA!H:H)</f>
        <v>SI</v>
      </c>
      <c r="P6" s="35">
        <f>IF(Tabla2__2[[#This Row],[RTA]]=Tabla2__2[[#This Row],[RTA CORRECTA]],Tabla2__2[[#This Row],[TOTAL PUNTAJE]],0)</f>
        <v>1.5</v>
      </c>
      <c r="Q6" s="35">
        <f>IF(OR(H6="Dog Chow húmedo",H6="Cat Chow húmedo",H6="Fancy Feast",H6="Felix",H6="Proplan húmedo",H6="One húmedo",H6="Snack Abrazzos",H6="Snak Dentalife",H6="Arenilla Tidy Cat"),N6,0)</f>
        <v>0</v>
      </c>
      <c r="R6" s="35"/>
    </row>
    <row r="7" spans="1:21" x14ac:dyDescent="0.35">
      <c r="A7" s="35" t="s">
        <v>95</v>
      </c>
      <c r="B7" s="35" t="s">
        <v>173</v>
      </c>
      <c r="C7" t="s">
        <v>15</v>
      </c>
      <c r="D7" s="35" t="s">
        <v>85</v>
      </c>
      <c r="E7" s="35">
        <v>424810</v>
      </c>
      <c r="F7" s="35" t="s">
        <v>175</v>
      </c>
      <c r="G7" s="35" t="s">
        <v>133</v>
      </c>
      <c r="H7" s="35" t="s">
        <v>20</v>
      </c>
      <c r="I7" s="36"/>
      <c r="J7" s="35">
        <v>30249632</v>
      </c>
      <c r="K7" s="35" t="s">
        <v>104</v>
      </c>
      <c r="L7" s="35" t="str">
        <f>_xlfn.XLOOKUP(Tabla2__2[[#This Row],[CODIGO RUTA]],'DATA INFORME'!I:I,'DATA INFORME'!K:K)</f>
        <v>SI</v>
      </c>
      <c r="M7" s="35" t="str">
        <f>IF(Tabla2__2[[#This Row],[MYSTERY EFECTIVO]]="SI",_xlfn.XLOOKUP(Tabla2__2[[#This Row],[PREGUNTA]],ENCUESTA!G:G,ENCUESTA!D:D),"N/A")</f>
        <v>PORTAFOLIO Y MANEJO DE OBJECIONES</v>
      </c>
      <c r="N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 s="35" t="str">
        <f>_xlfn.XLOOKUP(Tabla2__2[[#This Row],[PREGUNTA]],ENCUESTA!G:G,ENCUESTA!H:H)</f>
        <v>SI</v>
      </c>
      <c r="P7" s="35">
        <f>IF(Tabla2__2[[#This Row],[RTA]]=Tabla2__2[[#This Row],[RTA CORRECTA]],Tabla2__2[[#This Row],[TOTAL PUNTAJE]],0)</f>
        <v>1.5</v>
      </c>
      <c r="Q7" s="35">
        <f>IF(OR(H7="Dog Chow húmedo",H7="Cat Chow húmedo",H7="Fancy Feast",H7="Felix",H7="Proplan húmedo",H7="One húmedo",H7="Snack Abrazzos",H7="Snak Dentalife",H7="Arenilla Tidy Cat"),N7,0)</f>
        <v>0</v>
      </c>
      <c r="R7" s="35"/>
    </row>
    <row r="8" spans="1:21" x14ac:dyDescent="0.35">
      <c r="A8" s="35" t="s">
        <v>95</v>
      </c>
      <c r="B8" s="35" t="s">
        <v>173</v>
      </c>
      <c r="C8" t="s">
        <v>15</v>
      </c>
      <c r="D8" s="35" t="s">
        <v>85</v>
      </c>
      <c r="E8" s="35">
        <v>424810</v>
      </c>
      <c r="F8" s="35" t="s">
        <v>175</v>
      </c>
      <c r="G8" s="35" t="s">
        <v>134</v>
      </c>
      <c r="H8" s="35" t="s">
        <v>20</v>
      </c>
      <c r="I8" s="36"/>
      <c r="J8" s="35">
        <v>30249632</v>
      </c>
      <c r="K8" s="35" t="s">
        <v>104</v>
      </c>
      <c r="L8" s="35" t="str">
        <f>_xlfn.XLOOKUP(Tabla2__2[[#This Row],[CODIGO RUTA]],'DATA INFORME'!I:I,'DATA INFORME'!K:K)</f>
        <v>SI</v>
      </c>
      <c r="M8" s="35" t="str">
        <f>IF(Tabla2__2[[#This Row],[MYSTERY EFECTIVO]]="SI",_xlfn.XLOOKUP(Tabla2__2[[#This Row],[PREGUNTA]],ENCUESTA!G:G,ENCUESTA!D:D),"N/A")</f>
        <v>PORTAFOLIO Y MANEJO DE OBJECIONES</v>
      </c>
      <c r="N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 s="35" t="str">
        <f>_xlfn.XLOOKUP(Tabla2__2[[#This Row],[PREGUNTA]],ENCUESTA!G:G,ENCUESTA!H:H)</f>
        <v>SI</v>
      </c>
      <c r="P8" s="35">
        <f>IF(Tabla2__2[[#This Row],[RTA]]=Tabla2__2[[#This Row],[RTA CORRECTA]],Tabla2__2[[#This Row],[TOTAL PUNTAJE]],0)</f>
        <v>1.5</v>
      </c>
      <c r="Q8" s="35">
        <f>IF(OR(H8="Dog Chow húmedo",H8="Cat Chow húmedo",H8="Fancy Feast",H8="Felix",H8="Proplan húmedo",H8="One húmedo",H8="Snack Abrazzos",H8="Snak Dentalife",H8="Arenilla Tidy Cat"),N8,0)</f>
        <v>0</v>
      </c>
      <c r="R8" s="35"/>
    </row>
    <row r="9" spans="1:21" x14ac:dyDescent="0.35">
      <c r="A9" s="35" t="s">
        <v>95</v>
      </c>
      <c r="B9" s="35" t="s">
        <v>173</v>
      </c>
      <c r="C9" t="s">
        <v>15</v>
      </c>
      <c r="D9" s="35" t="s">
        <v>85</v>
      </c>
      <c r="E9" s="35">
        <v>424810</v>
      </c>
      <c r="F9" s="35" t="s">
        <v>175</v>
      </c>
      <c r="G9" s="35" t="s">
        <v>93</v>
      </c>
      <c r="H9" s="35" t="s">
        <v>94</v>
      </c>
      <c r="I9" s="36"/>
      <c r="J9" s="35">
        <v>30249632</v>
      </c>
      <c r="K9" s="35" t="s">
        <v>104</v>
      </c>
      <c r="L9" s="35" t="str">
        <f>_xlfn.XLOOKUP(Tabla2__2[[#This Row],[CODIGO RUTA]],'DATA INFORME'!I:I,'DATA INFORME'!K:K)</f>
        <v>SI</v>
      </c>
      <c r="M9" s="35" t="str">
        <f>IF(Tabla2__2[[#This Row],[MYSTERY EFECTIVO]]="SI",_xlfn.XLOOKUP(Tabla2__2[[#This Row],[PREGUNTA]],ENCUESTA!G:G,ENCUESTA!D:D),"N/A")</f>
        <v>UNIFORME</v>
      </c>
      <c r="N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 s="35" t="str">
        <f>_xlfn.XLOOKUP(Tabla2__2[[#This Row],[PREGUNTA]],ENCUESTA!G:G,ENCUESTA!H:H)</f>
        <v>NO</v>
      </c>
      <c r="P9" s="35">
        <f>IF(Tabla2__2[[#This Row],[RTA]]=Tabla2__2[[#This Row],[RTA CORRECTA]],Tabla2__2[[#This Row],[TOTAL PUNTAJE]],0)</f>
        <v>1.5</v>
      </c>
      <c r="Q9" s="35">
        <f>IF(OR(H9="Dog Chow húmedo",H9="Cat Chow húmedo",H9="Fancy Feast",H9="Felix",H9="Proplan húmedo",H9="One húmedo",H9="Snack Abrazzos",H9="Snak Dentalife",H9="Arenilla Tidy Cat"),N9,0)</f>
        <v>0</v>
      </c>
      <c r="R9" s="35"/>
    </row>
    <row r="10" spans="1:21" x14ac:dyDescent="0.35">
      <c r="A10" s="35" t="s">
        <v>95</v>
      </c>
      <c r="B10" s="35" t="s">
        <v>173</v>
      </c>
      <c r="C10" t="s">
        <v>15</v>
      </c>
      <c r="D10" s="35" t="s">
        <v>85</v>
      </c>
      <c r="E10" s="35">
        <v>424810</v>
      </c>
      <c r="F10" s="35" t="s">
        <v>175</v>
      </c>
      <c r="G10" s="35" t="s">
        <v>144</v>
      </c>
      <c r="H10" s="35" t="s">
        <v>20</v>
      </c>
      <c r="I10" s="36"/>
      <c r="J10" s="35">
        <v>30249632</v>
      </c>
      <c r="K10" s="35" t="s">
        <v>104</v>
      </c>
      <c r="L10" s="35" t="str">
        <f>_xlfn.XLOOKUP(Tabla2__2[[#This Row],[CODIGO RUTA]],'DATA INFORME'!I:I,'DATA INFORME'!K:K)</f>
        <v>SI</v>
      </c>
      <c r="M10" s="35" t="str">
        <f>IF(Tabla2__2[[#This Row],[MYSTERY EFECTIVO]]="SI",_xlfn.XLOOKUP(Tabla2__2[[#This Row],[PREGUNTA]],ENCUESTA!G:G,ENCUESTA!D:D),"N/A")</f>
        <v>PORTAFOLIO Y MANEJO DE OBJECIONES</v>
      </c>
      <c r="N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 s="35" t="str">
        <f>_xlfn.XLOOKUP(Tabla2__2[[#This Row],[PREGUNTA]],ENCUESTA!G:G,ENCUESTA!H:H)</f>
        <v>SI</v>
      </c>
      <c r="P10" s="35">
        <f>IF(Tabla2__2[[#This Row],[RTA]]=Tabla2__2[[#This Row],[RTA CORRECTA]],Tabla2__2[[#This Row],[TOTAL PUNTAJE]],0)</f>
        <v>1.5</v>
      </c>
      <c r="Q10" s="35">
        <f>IF(OR(H10="Dog Chow húmedo",H10="Cat Chow húmedo",H10="Fancy Feast",H10="Felix",H10="Proplan húmedo",H10="One húmedo",H10="Snack Abrazzos",H10="Snak Dentalife",H10="Arenilla Tidy Cat"),N10,0)</f>
        <v>0</v>
      </c>
      <c r="R10" s="35"/>
    </row>
    <row r="11" spans="1:21" x14ac:dyDescent="0.35">
      <c r="A11" s="35" t="s">
        <v>95</v>
      </c>
      <c r="B11" s="35" t="s">
        <v>173</v>
      </c>
      <c r="C11" t="s">
        <v>15</v>
      </c>
      <c r="D11" s="35" t="s">
        <v>85</v>
      </c>
      <c r="E11" s="35">
        <v>424810</v>
      </c>
      <c r="F11" s="35" t="s">
        <v>175</v>
      </c>
      <c r="G11" s="35" t="s">
        <v>135</v>
      </c>
      <c r="H11" s="35" t="s">
        <v>20</v>
      </c>
      <c r="I11" s="36"/>
      <c r="J11" s="35">
        <v>30249632</v>
      </c>
      <c r="K11" s="35" t="s">
        <v>104</v>
      </c>
      <c r="L11" s="35" t="str">
        <f>_xlfn.XLOOKUP(Tabla2__2[[#This Row],[CODIGO RUTA]],'DATA INFORME'!I:I,'DATA INFORME'!K:K)</f>
        <v>SI</v>
      </c>
      <c r="M11" s="35" t="str">
        <f>IF(Tabla2__2[[#This Row],[MYSTERY EFECTIVO]]="SI",_xlfn.XLOOKUP(Tabla2__2[[#This Row],[PREGUNTA]],ENCUESTA!G:G,ENCUESTA!D:D),"N/A")</f>
        <v>PORTAFOLIO Y MANEJO DE OBJECIONES</v>
      </c>
      <c r="N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 s="35" t="str">
        <f>_xlfn.XLOOKUP(Tabla2__2[[#This Row],[PREGUNTA]],ENCUESTA!G:G,ENCUESTA!H:H)</f>
        <v>SI</v>
      </c>
      <c r="P11" s="35">
        <f>IF(Tabla2__2[[#This Row],[RTA]]=Tabla2__2[[#This Row],[RTA CORRECTA]],Tabla2__2[[#This Row],[TOTAL PUNTAJE]],0)</f>
        <v>1.5</v>
      </c>
      <c r="Q11" s="35">
        <f>IF(OR(H11="Dog Chow húmedo",H11="Cat Chow húmedo",H11="Fancy Feast",H11="Felix",H11="Proplan húmedo",H11="One húmedo",H11="Snack Abrazzos",H11="Snak Dentalife",H11="Arenilla Tidy Cat"),N11,0)</f>
        <v>0</v>
      </c>
      <c r="R11" s="35"/>
    </row>
    <row r="12" spans="1:21" x14ac:dyDescent="0.35">
      <c r="A12" s="35" t="s">
        <v>95</v>
      </c>
      <c r="B12" s="35" t="s">
        <v>173</v>
      </c>
      <c r="C12" t="s">
        <v>15</v>
      </c>
      <c r="D12" s="35" t="s">
        <v>85</v>
      </c>
      <c r="E12" s="35">
        <v>424810</v>
      </c>
      <c r="F12" s="35" t="s">
        <v>175</v>
      </c>
      <c r="G12" s="35" t="s">
        <v>112</v>
      </c>
      <c r="H12" s="35" t="s">
        <v>15</v>
      </c>
      <c r="I12" s="36"/>
      <c r="J12" s="35">
        <v>30249632</v>
      </c>
      <c r="K12" s="35" t="s">
        <v>104</v>
      </c>
      <c r="L12" s="35" t="str">
        <f>_xlfn.XLOOKUP(Tabla2__2[[#This Row],[CODIGO RUTA]],'DATA INFORME'!I:I,'DATA INFORME'!K:K)</f>
        <v>SI</v>
      </c>
      <c r="M12" s="35" t="str">
        <f>IF(Tabla2__2[[#This Row],[MYSTERY EFECTIVO]]="SI",_xlfn.XLOOKUP(Tabla2__2[[#This Row],[PREGUNTA]],ENCUESTA!G:G,ENCUESTA!D:D),"N/A")</f>
        <v>N/A</v>
      </c>
      <c r="N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 s="35">
        <f>_xlfn.XLOOKUP(Tabla2__2[[#This Row],[PREGUNTA]],ENCUESTA!G:G,ENCUESTA!H:H)</f>
        <v>0</v>
      </c>
      <c r="P12" s="35">
        <f>IF(Tabla2__2[[#This Row],[RTA]]=Tabla2__2[[#This Row],[RTA CORRECTA]],Tabla2__2[[#This Row],[TOTAL PUNTAJE]],0)</f>
        <v>0</v>
      </c>
      <c r="Q12" s="35">
        <f>IF(OR(H12="Dog Chow húmedo",H12="Cat Chow húmedo",H12="Fancy Feast",H12="Felix",H12="Proplan húmedo",H12="One húmedo",H12="Snack Abrazzos",H12="Snak Dentalife",H12="Arenilla Tidy Cat"),N12,0)</f>
        <v>0</v>
      </c>
      <c r="R12" s="35"/>
    </row>
    <row r="13" spans="1:21" x14ac:dyDescent="0.35">
      <c r="A13" s="35" t="s">
        <v>95</v>
      </c>
      <c r="B13" s="35" t="s">
        <v>173</v>
      </c>
      <c r="C13" t="s">
        <v>15</v>
      </c>
      <c r="D13" s="35" t="s">
        <v>85</v>
      </c>
      <c r="E13" s="35">
        <v>424810</v>
      </c>
      <c r="F13" s="35" t="s">
        <v>175</v>
      </c>
      <c r="G13" s="35" t="s">
        <v>122</v>
      </c>
      <c r="H13" s="35" t="s">
        <v>20</v>
      </c>
      <c r="I13" s="36"/>
      <c r="J13" s="35">
        <v>30249632</v>
      </c>
      <c r="K13" s="35" t="s">
        <v>104</v>
      </c>
      <c r="L13" s="35" t="str">
        <f>_xlfn.XLOOKUP(Tabla2__2[[#This Row],[CODIGO RUTA]],'DATA INFORME'!I:I,'DATA INFORME'!K:K)</f>
        <v>SI</v>
      </c>
      <c r="M13" s="35" t="str">
        <f>IF(Tabla2__2[[#This Row],[MYSTERY EFECTIVO]]="SI",_xlfn.XLOOKUP(Tabla2__2[[#This Row],[PREGUNTA]],ENCUESTA!G:G,ENCUESTA!D:D),"N/A")</f>
        <v>PORTAFOLIO Y MANEJO DE OBJECIONES</v>
      </c>
      <c r="N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3" s="35" t="str">
        <f>_xlfn.XLOOKUP(Tabla2__2[[#This Row],[PREGUNTA]],ENCUESTA!G:G,ENCUESTA!H:H)</f>
        <v>SI</v>
      </c>
      <c r="P13" s="35">
        <f>IF(Tabla2__2[[#This Row],[RTA]]=Tabla2__2[[#This Row],[RTA CORRECTA]],Tabla2__2[[#This Row],[TOTAL PUNTAJE]],0)</f>
        <v>6</v>
      </c>
      <c r="Q13" s="35">
        <f>IF(OR(H13="Dog Chow húmedo",H13="Cat Chow húmedo",H13="Fancy Feast",H13="Felix",H13="Proplan húmedo",H13="One húmedo",H13="Snack Abrazzos",H13="Snak Dentalife",H13="Arenilla Tidy Cat"),N13,0)</f>
        <v>0</v>
      </c>
      <c r="R13" s="35"/>
    </row>
    <row r="14" spans="1:21" x14ac:dyDescent="0.35">
      <c r="A14" s="35" t="s">
        <v>95</v>
      </c>
      <c r="B14" s="35" t="s">
        <v>173</v>
      </c>
      <c r="C14" t="s">
        <v>15</v>
      </c>
      <c r="D14" s="35" t="s">
        <v>85</v>
      </c>
      <c r="E14" s="35">
        <v>424810</v>
      </c>
      <c r="F14" s="35" t="s">
        <v>175</v>
      </c>
      <c r="G14" s="35" t="s">
        <v>123</v>
      </c>
      <c r="H14" s="35" t="s">
        <v>20</v>
      </c>
      <c r="I14" s="36"/>
      <c r="J14" s="35">
        <v>30249632</v>
      </c>
      <c r="K14" s="35" t="s">
        <v>104</v>
      </c>
      <c r="L14" s="35" t="str">
        <f>_xlfn.XLOOKUP(Tabla2__2[[#This Row],[CODIGO RUTA]],'DATA INFORME'!I:I,'DATA INFORME'!K:K)</f>
        <v>SI</v>
      </c>
      <c r="M14" s="35" t="str">
        <f>IF(Tabla2__2[[#This Row],[MYSTERY EFECTIVO]]="SI",_xlfn.XLOOKUP(Tabla2__2[[#This Row],[PREGUNTA]],ENCUESTA!G:G,ENCUESTA!D:D),"N/A")</f>
        <v>PORTAFOLIO Y MANEJO DE OBJECIONES</v>
      </c>
      <c r="N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4" s="35" t="str">
        <f>_xlfn.XLOOKUP(Tabla2__2[[#This Row],[PREGUNTA]],ENCUESTA!G:G,ENCUESTA!H:H)</f>
        <v>SI</v>
      </c>
      <c r="P14" s="35">
        <f>IF(Tabla2__2[[#This Row],[RTA]]=Tabla2__2[[#This Row],[RTA CORRECTA]],Tabla2__2[[#This Row],[TOTAL PUNTAJE]],0)</f>
        <v>6</v>
      </c>
      <c r="Q14" s="35">
        <f>IF(OR(H14="Dog Chow húmedo",H14="Cat Chow húmedo",H14="Fancy Feast",H14="Felix",H14="Proplan húmedo",H14="One húmedo",H14="Snack Abrazzos",H14="Snak Dentalife",H14="Arenilla Tidy Cat"),N14,0)</f>
        <v>0</v>
      </c>
      <c r="R14" s="35"/>
    </row>
    <row r="15" spans="1:21" x14ac:dyDescent="0.35">
      <c r="A15" s="35" t="s">
        <v>95</v>
      </c>
      <c r="B15" s="35" t="s">
        <v>173</v>
      </c>
      <c r="C15" t="s">
        <v>15</v>
      </c>
      <c r="D15" s="35" t="s">
        <v>85</v>
      </c>
      <c r="E15" s="35">
        <v>424810</v>
      </c>
      <c r="F15" s="35" t="s">
        <v>175</v>
      </c>
      <c r="G15" s="35" t="s">
        <v>124</v>
      </c>
      <c r="H15" s="35" t="s">
        <v>20</v>
      </c>
      <c r="I15" s="36"/>
      <c r="J15" s="35">
        <v>30249632</v>
      </c>
      <c r="K15" s="35" t="s">
        <v>104</v>
      </c>
      <c r="L15" s="35" t="str">
        <f>_xlfn.XLOOKUP(Tabla2__2[[#This Row],[CODIGO RUTA]],'DATA INFORME'!I:I,'DATA INFORME'!K:K)</f>
        <v>SI</v>
      </c>
      <c r="M15" s="35" t="str">
        <f>IF(Tabla2__2[[#This Row],[MYSTERY EFECTIVO]]="SI",_xlfn.XLOOKUP(Tabla2__2[[#This Row],[PREGUNTA]],ENCUESTA!G:G,ENCUESTA!D:D),"N/A")</f>
        <v>PORTAFOLIO Y MANEJO DE OBJECIONES</v>
      </c>
      <c r="N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5" s="35" t="str">
        <f>_xlfn.XLOOKUP(Tabla2__2[[#This Row],[PREGUNTA]],ENCUESTA!G:G,ENCUESTA!H:H)</f>
        <v>SI</v>
      </c>
      <c r="P15" s="35">
        <f>IF(Tabla2__2[[#This Row],[RTA]]=Tabla2__2[[#This Row],[RTA CORRECTA]],Tabla2__2[[#This Row],[TOTAL PUNTAJE]],0)</f>
        <v>6</v>
      </c>
      <c r="Q15" s="35">
        <f>IF(OR(H15="Dog Chow húmedo",H15="Cat Chow húmedo",H15="Fancy Feast",H15="Felix",H15="Proplan húmedo",H15="One húmedo",H15="Snack Abrazzos",H15="Snak Dentalife",H15="Arenilla Tidy Cat"),N15,0)</f>
        <v>0</v>
      </c>
      <c r="R15" s="35"/>
    </row>
    <row r="16" spans="1:21" x14ac:dyDescent="0.35">
      <c r="A16" s="35" t="s">
        <v>95</v>
      </c>
      <c r="B16" s="35" t="s">
        <v>173</v>
      </c>
      <c r="C16" t="s">
        <v>15</v>
      </c>
      <c r="D16" s="35" t="s">
        <v>85</v>
      </c>
      <c r="E16" s="35">
        <v>424810</v>
      </c>
      <c r="F16" s="35" t="s">
        <v>175</v>
      </c>
      <c r="G16" s="35" t="s">
        <v>113</v>
      </c>
      <c r="H16" s="35" t="s">
        <v>147</v>
      </c>
      <c r="I16" s="36"/>
      <c r="J16" s="35">
        <v>30249632</v>
      </c>
      <c r="K16" s="35" t="s">
        <v>104</v>
      </c>
      <c r="L16" s="35" t="str">
        <f>_xlfn.XLOOKUP(Tabla2__2[[#This Row],[CODIGO RUTA]],'DATA INFORME'!I:I,'DATA INFORME'!K:K)</f>
        <v>SI</v>
      </c>
      <c r="M16" s="35" t="str">
        <f>IF(Tabla2__2[[#This Row],[MYSTERY EFECTIVO]]="SI",_xlfn.XLOOKUP(Tabla2__2[[#This Row],[PREGUNTA]],ENCUESTA!G:G,ENCUESTA!D:D),"N/A")</f>
        <v>N/A</v>
      </c>
      <c r="N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 s="35">
        <f>_xlfn.XLOOKUP(Tabla2__2[[#This Row],[PREGUNTA]],ENCUESTA!G:G,ENCUESTA!H:H)</f>
        <v>0</v>
      </c>
      <c r="P16" s="35">
        <f>IF(Tabla2__2[[#This Row],[RTA]]=Tabla2__2[[#This Row],[RTA CORRECTA]],Tabla2__2[[#This Row],[TOTAL PUNTAJE]],0)</f>
        <v>0</v>
      </c>
      <c r="Q16" s="35">
        <f>IF(OR(H16="Dog Chow húmedo",H16="Cat Chow húmedo",H16="Fancy Feast",H16="Felix",H16="Proplan húmedo",H16="One húmedo",H16="Snack Abrazzos",H16="Snak Dentalife",H16="Arenilla Tidy Cat"),N16,0)</f>
        <v>0</v>
      </c>
      <c r="R16" s="35"/>
    </row>
    <row r="17" spans="1:18" x14ac:dyDescent="0.35">
      <c r="A17" s="35" t="s">
        <v>95</v>
      </c>
      <c r="B17" s="35" t="s">
        <v>173</v>
      </c>
      <c r="C17" t="s">
        <v>15</v>
      </c>
      <c r="D17" s="35" t="s">
        <v>85</v>
      </c>
      <c r="E17" s="35">
        <v>424810</v>
      </c>
      <c r="F17" s="35" t="s">
        <v>175</v>
      </c>
      <c r="G17" s="35" t="s">
        <v>145</v>
      </c>
      <c r="H17" s="35" t="s">
        <v>20</v>
      </c>
      <c r="I17" s="36"/>
      <c r="J17" s="35">
        <v>30249632</v>
      </c>
      <c r="K17" s="35" t="s">
        <v>104</v>
      </c>
      <c r="L17" s="35" t="str">
        <f>_xlfn.XLOOKUP(Tabla2__2[[#This Row],[CODIGO RUTA]],'DATA INFORME'!I:I,'DATA INFORME'!K:K)</f>
        <v>SI</v>
      </c>
      <c r="M17" s="35" t="str">
        <f>IF(Tabla2__2[[#This Row],[MYSTERY EFECTIVO]]="SI",_xlfn.XLOOKUP(Tabla2__2[[#This Row],[PREGUNTA]],ENCUESTA!G:G,ENCUESTA!D:D),"N/A")</f>
        <v>PORTAFOLIO Y MANEJO DE OBJECIONES</v>
      </c>
      <c r="N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7" s="35" t="str">
        <f>_xlfn.XLOOKUP(Tabla2__2[[#This Row],[PREGUNTA]],ENCUESTA!G:G,ENCUESTA!H:H)</f>
        <v>SI</v>
      </c>
      <c r="P17" s="35">
        <f>IF(Tabla2__2[[#This Row],[RTA]]=Tabla2__2[[#This Row],[RTA CORRECTA]],Tabla2__2[[#This Row],[TOTAL PUNTAJE]],0)</f>
        <v>1.5</v>
      </c>
      <c r="Q17" s="35">
        <f>IF(OR(H17="Dog Chow húmedo",H17="Cat Chow húmedo",H17="Fancy Feast",H17="Felix",H17="Proplan húmedo",H17="One húmedo",H17="Snack Abrazzos",H17="Snak Dentalife",H17="Arenilla Tidy Cat"),N17,0)</f>
        <v>0</v>
      </c>
      <c r="R17" s="35"/>
    </row>
    <row r="18" spans="1:18" x14ac:dyDescent="0.35">
      <c r="A18" s="35" t="s">
        <v>95</v>
      </c>
      <c r="B18" s="35" t="s">
        <v>173</v>
      </c>
      <c r="C18" t="s">
        <v>15</v>
      </c>
      <c r="D18" s="35" t="s">
        <v>85</v>
      </c>
      <c r="E18" s="35">
        <v>424810</v>
      </c>
      <c r="F18" s="35" t="s">
        <v>175</v>
      </c>
      <c r="G18" s="35" t="s">
        <v>114</v>
      </c>
      <c r="H18" s="35" t="s">
        <v>20</v>
      </c>
      <c r="I18" s="36"/>
      <c r="J18" s="35">
        <v>30249632</v>
      </c>
      <c r="K18" s="35" t="s">
        <v>104</v>
      </c>
      <c r="L18" s="35" t="str">
        <f>_xlfn.XLOOKUP(Tabla2__2[[#This Row],[CODIGO RUTA]],'DATA INFORME'!I:I,'DATA INFORME'!K:K)</f>
        <v>SI</v>
      </c>
      <c r="M18" s="35" t="str">
        <f>IF(Tabla2__2[[#This Row],[MYSTERY EFECTIVO]]="SI",_xlfn.XLOOKUP(Tabla2__2[[#This Row],[PREGUNTA]],ENCUESTA!G:G,ENCUESTA!D:D),"N/A")</f>
        <v>LABOR DE VENTA</v>
      </c>
      <c r="N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 s="35" t="str">
        <f>_xlfn.XLOOKUP(Tabla2__2[[#This Row],[PREGUNTA]],ENCUESTA!G:G,ENCUESTA!H:H)</f>
        <v>SI</v>
      </c>
      <c r="P18" s="35">
        <f>IF(Tabla2__2[[#This Row],[RTA]]=Tabla2__2[[#This Row],[RTA CORRECTA]],Tabla2__2[[#This Row],[TOTAL PUNTAJE]],0)</f>
        <v>3.75</v>
      </c>
      <c r="Q18" s="35">
        <f>IF(OR(H18="Dog Chow húmedo",H18="Cat Chow húmedo",H18="Fancy Feast",H18="Felix",H18="Proplan húmedo",H18="One húmedo",H18="Snack Abrazzos",H18="Snak Dentalife",H18="Arenilla Tidy Cat"),N18,0)</f>
        <v>0</v>
      </c>
      <c r="R18" s="35"/>
    </row>
    <row r="19" spans="1:18" x14ac:dyDescent="0.35">
      <c r="A19" s="35" t="s">
        <v>95</v>
      </c>
      <c r="B19" s="35" t="s">
        <v>173</v>
      </c>
      <c r="C19" t="s">
        <v>15</v>
      </c>
      <c r="D19" s="35" t="s">
        <v>85</v>
      </c>
      <c r="E19" s="35">
        <v>424810</v>
      </c>
      <c r="F19" s="35" t="s">
        <v>175</v>
      </c>
      <c r="G19" s="35" t="s">
        <v>92</v>
      </c>
      <c r="H19" s="35" t="s">
        <v>94</v>
      </c>
      <c r="I19" s="36"/>
      <c r="J19" s="35">
        <v>30249632</v>
      </c>
      <c r="K19" s="35" t="s">
        <v>104</v>
      </c>
      <c r="L19" s="35" t="str">
        <f>_xlfn.XLOOKUP(Tabla2__2[[#This Row],[CODIGO RUTA]],'DATA INFORME'!I:I,'DATA INFORME'!K:K)</f>
        <v>SI</v>
      </c>
      <c r="M19" s="35" t="str">
        <f>IF(Tabla2__2[[#This Row],[MYSTERY EFECTIVO]]="SI",_xlfn.XLOOKUP(Tabla2__2[[#This Row],[PREGUNTA]],ENCUESTA!G:G,ENCUESTA!D:D),"N/A")</f>
        <v>UNIFORME</v>
      </c>
      <c r="N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9" s="35" t="str">
        <f>_xlfn.XLOOKUP(Tabla2__2[[#This Row],[PREGUNTA]],ENCUESTA!G:G,ENCUESTA!H:H)</f>
        <v>NO</v>
      </c>
      <c r="P19" s="35">
        <f>IF(Tabla2__2[[#This Row],[RTA]]=Tabla2__2[[#This Row],[RTA CORRECTA]],Tabla2__2[[#This Row],[TOTAL PUNTAJE]],0)</f>
        <v>1.5</v>
      </c>
      <c r="Q19" s="35">
        <f>IF(OR(H19="Dog Chow húmedo",H19="Cat Chow húmedo",H19="Fancy Feast",H19="Felix",H19="Proplan húmedo",H19="One húmedo",H19="Snack Abrazzos",H19="Snak Dentalife",H19="Arenilla Tidy Cat"),N19,0)</f>
        <v>0</v>
      </c>
      <c r="R19" s="35"/>
    </row>
    <row r="20" spans="1:18" x14ac:dyDescent="0.35">
      <c r="A20" s="35" t="s">
        <v>95</v>
      </c>
      <c r="B20" s="35" t="s">
        <v>173</v>
      </c>
      <c r="C20" t="s">
        <v>15</v>
      </c>
      <c r="D20" s="35" t="s">
        <v>85</v>
      </c>
      <c r="E20" s="35">
        <v>424810</v>
      </c>
      <c r="F20" s="35" t="s">
        <v>175</v>
      </c>
      <c r="G20" s="35" t="s">
        <v>90</v>
      </c>
      <c r="H20" s="35" t="s">
        <v>94</v>
      </c>
      <c r="I20" s="36"/>
      <c r="J20" s="35">
        <v>30249632</v>
      </c>
      <c r="K20" s="35" t="s">
        <v>104</v>
      </c>
      <c r="L20" s="35" t="str">
        <f>_xlfn.XLOOKUP(Tabla2__2[[#This Row],[CODIGO RUTA]],'DATA INFORME'!I:I,'DATA INFORME'!K:K)</f>
        <v>SI</v>
      </c>
      <c r="M20" s="35" t="str">
        <f>IF(Tabla2__2[[#This Row],[MYSTERY EFECTIVO]]="SI",_xlfn.XLOOKUP(Tabla2__2[[#This Row],[PREGUNTA]],ENCUESTA!G:G,ENCUESTA!D:D),"N/A")</f>
        <v>UNIFORME</v>
      </c>
      <c r="N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 s="35" t="str">
        <f>_xlfn.XLOOKUP(Tabla2__2[[#This Row],[PREGUNTA]],ENCUESTA!G:G,ENCUESTA!H:H)</f>
        <v>NO</v>
      </c>
      <c r="P20" s="35">
        <f>IF(Tabla2__2[[#This Row],[RTA]]=Tabla2__2[[#This Row],[RTA CORRECTA]],Tabla2__2[[#This Row],[TOTAL PUNTAJE]],0)</f>
        <v>1.5</v>
      </c>
      <c r="Q20" s="35">
        <f>IF(OR(H20="Dog Chow húmedo",H20="Cat Chow húmedo",H20="Fancy Feast",H20="Felix",H20="Proplan húmedo",H20="One húmedo",H20="Snack Abrazzos",H20="Snak Dentalife",H20="Arenilla Tidy Cat"),N20,0)</f>
        <v>0</v>
      </c>
      <c r="R20" s="35"/>
    </row>
    <row r="21" spans="1:18" x14ac:dyDescent="0.35">
      <c r="A21" s="35" t="s">
        <v>95</v>
      </c>
      <c r="B21" s="35" t="s">
        <v>100</v>
      </c>
      <c r="C21" t="s">
        <v>14</v>
      </c>
      <c r="D21" s="35" t="s">
        <v>101</v>
      </c>
      <c r="E21" s="35">
        <v>424808</v>
      </c>
      <c r="F21" s="35" t="s">
        <v>168</v>
      </c>
      <c r="G21" s="35" t="s">
        <v>113</v>
      </c>
      <c r="H21" s="35" t="s">
        <v>119</v>
      </c>
      <c r="I21" s="36"/>
      <c r="J21" s="35">
        <v>30231329</v>
      </c>
      <c r="K21" s="35" t="s">
        <v>164</v>
      </c>
      <c r="L21" s="35" t="str">
        <f>_xlfn.XLOOKUP(Tabla2__2[[#This Row],[CODIGO RUTA]],'DATA INFORME'!I:I,'DATA INFORME'!K:K)</f>
        <v>SI</v>
      </c>
      <c r="M21" s="35" t="str">
        <f>IF(Tabla2__2[[#This Row],[MYSTERY EFECTIVO]]="SI",_xlfn.XLOOKUP(Tabla2__2[[#This Row],[PREGUNTA]],ENCUESTA!G:G,ENCUESTA!D:D),"N/A")</f>
        <v>N/A</v>
      </c>
      <c r="N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 s="35">
        <f>_xlfn.XLOOKUP(Tabla2__2[[#This Row],[PREGUNTA]],ENCUESTA!G:G,ENCUESTA!H:H)</f>
        <v>0</v>
      </c>
      <c r="P21" s="35">
        <f>IF(Tabla2__2[[#This Row],[RTA]]=Tabla2__2[[#This Row],[RTA CORRECTA]],Tabla2__2[[#This Row],[TOTAL PUNTAJE]],0)</f>
        <v>0</v>
      </c>
      <c r="Q21" s="35">
        <f>IF(OR(H21="Dog Chow húmedo",H21="Cat Chow húmedo",H21="Fancy Feast",H21="Felix",H21="Proplan húmedo",H21="One húmedo",H21="Snack Abrazzos",H21="Snak Dentalife",H21="Arenilla Tidy Cat"),N21,0)</f>
        <v>0</v>
      </c>
      <c r="R21" s="35"/>
    </row>
    <row r="22" spans="1:18" x14ac:dyDescent="0.35">
      <c r="A22" s="35" t="s">
        <v>95</v>
      </c>
      <c r="B22" s="35" t="s">
        <v>100</v>
      </c>
      <c r="C22" t="s">
        <v>14</v>
      </c>
      <c r="D22" s="35" t="s">
        <v>101</v>
      </c>
      <c r="E22" s="35">
        <v>424808</v>
      </c>
      <c r="F22" s="35" t="s">
        <v>168</v>
      </c>
      <c r="G22" s="35" t="s">
        <v>114</v>
      </c>
      <c r="H22" s="35" t="s">
        <v>20</v>
      </c>
      <c r="I22" s="36"/>
      <c r="J22" s="35">
        <v>30231329</v>
      </c>
      <c r="K22" s="35" t="s">
        <v>164</v>
      </c>
      <c r="L22" s="35" t="str">
        <f>_xlfn.XLOOKUP(Tabla2__2[[#This Row],[CODIGO RUTA]],'DATA INFORME'!I:I,'DATA INFORME'!K:K)</f>
        <v>SI</v>
      </c>
      <c r="M22" s="35" t="str">
        <f>IF(Tabla2__2[[#This Row],[MYSTERY EFECTIVO]]="SI",_xlfn.XLOOKUP(Tabla2__2[[#This Row],[PREGUNTA]],ENCUESTA!G:G,ENCUESTA!D:D),"N/A")</f>
        <v>LABOR DE VENTA</v>
      </c>
      <c r="N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2" s="35" t="str">
        <f>_xlfn.XLOOKUP(Tabla2__2[[#This Row],[PREGUNTA]],ENCUESTA!G:G,ENCUESTA!H:H)</f>
        <v>SI</v>
      </c>
      <c r="P22" s="35">
        <f>IF(Tabla2__2[[#This Row],[RTA]]=Tabla2__2[[#This Row],[RTA CORRECTA]],Tabla2__2[[#This Row],[TOTAL PUNTAJE]],0)</f>
        <v>3.75</v>
      </c>
      <c r="Q22" s="35">
        <f>IF(OR(H22="Dog Chow húmedo",H22="Cat Chow húmedo",H22="Fancy Feast",H22="Felix",H22="Proplan húmedo",H22="One húmedo",H22="Snack Abrazzos",H22="Snak Dentalife",H22="Arenilla Tidy Cat"),N22,0)</f>
        <v>0</v>
      </c>
      <c r="R22" s="35"/>
    </row>
    <row r="23" spans="1:18" x14ac:dyDescent="0.35">
      <c r="A23" s="35" t="s">
        <v>95</v>
      </c>
      <c r="B23" s="35" t="s">
        <v>100</v>
      </c>
      <c r="C23" t="s">
        <v>14</v>
      </c>
      <c r="D23" s="35" t="s">
        <v>101</v>
      </c>
      <c r="E23" s="35">
        <v>424808</v>
      </c>
      <c r="F23" s="35" t="s">
        <v>168</v>
      </c>
      <c r="G23" s="35" t="s">
        <v>128</v>
      </c>
      <c r="H23" s="35" t="s">
        <v>20</v>
      </c>
      <c r="I23" s="36"/>
      <c r="J23" s="35">
        <v>30231329</v>
      </c>
      <c r="K23" s="35" t="s">
        <v>164</v>
      </c>
      <c r="L23" s="35" t="str">
        <f>_xlfn.XLOOKUP(Tabla2__2[[#This Row],[CODIGO RUTA]],'DATA INFORME'!I:I,'DATA INFORME'!K:K)</f>
        <v>SI</v>
      </c>
      <c r="M23" s="35" t="str">
        <f>IF(Tabla2__2[[#This Row],[MYSTERY EFECTIVO]]="SI",_xlfn.XLOOKUP(Tabla2__2[[#This Row],[PREGUNTA]],ENCUESTA!G:G,ENCUESTA!D:D),"N/A")</f>
        <v>LABOR DE VENTA</v>
      </c>
      <c r="N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3" s="35" t="str">
        <f>_xlfn.XLOOKUP(Tabla2__2[[#This Row],[PREGUNTA]],ENCUESTA!G:G,ENCUESTA!H:H)</f>
        <v>SI</v>
      </c>
      <c r="P23" s="35">
        <f>IF(Tabla2__2[[#This Row],[RTA]]=Tabla2__2[[#This Row],[RTA CORRECTA]],Tabla2__2[[#This Row],[TOTAL PUNTAJE]],0)</f>
        <v>3.75</v>
      </c>
      <c r="Q23" s="35">
        <f>IF(OR(H23="Dog Chow húmedo",H23="Cat Chow húmedo",H23="Fancy Feast",H23="Felix",H23="Proplan húmedo",H23="One húmedo",H23="Snack Abrazzos",H23="Snak Dentalife",H23="Arenilla Tidy Cat"),N23,0)</f>
        <v>0</v>
      </c>
      <c r="R23" s="35"/>
    </row>
    <row r="24" spans="1:18" x14ac:dyDescent="0.35">
      <c r="A24" s="35" t="s">
        <v>95</v>
      </c>
      <c r="B24" s="35" t="s">
        <v>100</v>
      </c>
      <c r="C24" t="s">
        <v>14</v>
      </c>
      <c r="D24" s="35" t="s">
        <v>101</v>
      </c>
      <c r="E24" s="35">
        <v>424808</v>
      </c>
      <c r="F24" s="35" t="s">
        <v>168</v>
      </c>
      <c r="G24" s="35" t="s">
        <v>115</v>
      </c>
      <c r="H24" s="35" t="s">
        <v>20</v>
      </c>
      <c r="I24" s="36"/>
      <c r="J24" s="35">
        <v>30231329</v>
      </c>
      <c r="K24" s="35" t="s">
        <v>164</v>
      </c>
      <c r="L24" s="35" t="str">
        <f>_xlfn.XLOOKUP(Tabla2__2[[#This Row],[CODIGO RUTA]],'DATA INFORME'!I:I,'DATA INFORME'!K:K)</f>
        <v>SI</v>
      </c>
      <c r="M24" s="35" t="str">
        <f>IF(Tabla2__2[[#This Row],[MYSTERY EFECTIVO]]="SI",_xlfn.XLOOKUP(Tabla2__2[[#This Row],[PREGUNTA]],ENCUESTA!G:G,ENCUESTA!D:D),"N/A")</f>
        <v>LABOR DE VENTA</v>
      </c>
      <c r="N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4" s="35" t="str">
        <f>_xlfn.XLOOKUP(Tabla2__2[[#This Row],[PREGUNTA]],ENCUESTA!G:G,ENCUESTA!H:H)</f>
        <v>SI</v>
      </c>
      <c r="P24" s="35">
        <f>IF(Tabla2__2[[#This Row],[RTA]]=Tabla2__2[[#This Row],[RTA CORRECTA]],Tabla2__2[[#This Row],[TOTAL PUNTAJE]],0)</f>
        <v>3.75</v>
      </c>
      <c r="Q24" s="35">
        <f>IF(OR(H24="Dog Chow húmedo",H24="Cat Chow húmedo",H24="Fancy Feast",H24="Felix",H24="Proplan húmedo",H24="One húmedo",H24="Snack Abrazzos",H24="Snak Dentalife",H24="Arenilla Tidy Cat"),N24,0)</f>
        <v>0</v>
      </c>
      <c r="R24" s="35"/>
    </row>
    <row r="25" spans="1:18" x14ac:dyDescent="0.35">
      <c r="A25" s="35" t="s">
        <v>95</v>
      </c>
      <c r="B25" s="35" t="s">
        <v>100</v>
      </c>
      <c r="C25" t="s">
        <v>14</v>
      </c>
      <c r="D25" s="35" t="s">
        <v>101</v>
      </c>
      <c r="E25" s="35">
        <v>424808</v>
      </c>
      <c r="F25" s="35" t="s">
        <v>168</v>
      </c>
      <c r="G25" s="35" t="s">
        <v>116</v>
      </c>
      <c r="H25" s="35" t="s">
        <v>20</v>
      </c>
      <c r="I25" s="36"/>
      <c r="J25" s="35">
        <v>30231329</v>
      </c>
      <c r="K25" s="35" t="s">
        <v>164</v>
      </c>
      <c r="L25" s="35" t="str">
        <f>_xlfn.XLOOKUP(Tabla2__2[[#This Row],[CODIGO RUTA]],'DATA INFORME'!I:I,'DATA INFORME'!K:K)</f>
        <v>SI</v>
      </c>
      <c r="M25" s="35" t="str">
        <f>IF(Tabla2__2[[#This Row],[MYSTERY EFECTIVO]]="SI",_xlfn.XLOOKUP(Tabla2__2[[#This Row],[PREGUNTA]],ENCUESTA!G:G,ENCUESTA!D:D),"N/A")</f>
        <v>LABOR DE VENTA</v>
      </c>
      <c r="N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5" s="35" t="str">
        <f>_xlfn.XLOOKUP(Tabla2__2[[#This Row],[PREGUNTA]],ENCUESTA!G:G,ENCUESTA!H:H)</f>
        <v>SI</v>
      </c>
      <c r="P25" s="35">
        <f>IF(Tabla2__2[[#This Row],[RTA]]=Tabla2__2[[#This Row],[RTA CORRECTA]],Tabla2__2[[#This Row],[TOTAL PUNTAJE]],0)</f>
        <v>3.75</v>
      </c>
      <c r="Q25" s="35">
        <f>IF(OR(H25="Dog Chow húmedo",H25="Cat Chow húmedo",H25="Fancy Feast",H25="Felix",H25="Proplan húmedo",H25="One húmedo",H25="Snack Abrazzos",H25="Snak Dentalife",H25="Arenilla Tidy Cat"),N25,0)</f>
        <v>0</v>
      </c>
      <c r="R25" s="35"/>
    </row>
    <row r="26" spans="1:18" x14ac:dyDescent="0.35">
      <c r="A26" s="35" t="s">
        <v>95</v>
      </c>
      <c r="B26" s="35" t="s">
        <v>100</v>
      </c>
      <c r="C26" t="s">
        <v>14</v>
      </c>
      <c r="D26" s="35" t="s">
        <v>101</v>
      </c>
      <c r="E26" s="35">
        <v>424808</v>
      </c>
      <c r="F26" s="35" t="s">
        <v>168</v>
      </c>
      <c r="G26" s="35" t="s">
        <v>117</v>
      </c>
      <c r="H26" s="35" t="s">
        <v>94</v>
      </c>
      <c r="I26" s="36"/>
      <c r="J26" s="35">
        <v>30231329</v>
      </c>
      <c r="K26" s="35" t="s">
        <v>164</v>
      </c>
      <c r="L26" s="35" t="str">
        <f>_xlfn.XLOOKUP(Tabla2__2[[#This Row],[CODIGO RUTA]],'DATA INFORME'!I:I,'DATA INFORME'!K:K)</f>
        <v>SI</v>
      </c>
      <c r="M26" s="35" t="str">
        <f>IF(Tabla2__2[[#This Row],[MYSTERY EFECTIVO]]="SI",_xlfn.XLOOKUP(Tabla2__2[[#This Row],[PREGUNTA]],ENCUESTA!G:G,ENCUESTA!D:D),"N/A")</f>
        <v>N/A</v>
      </c>
      <c r="N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6" s="35">
        <f>_xlfn.XLOOKUP(Tabla2__2[[#This Row],[PREGUNTA]],ENCUESTA!G:G,ENCUESTA!H:H)</f>
        <v>0</v>
      </c>
      <c r="P26" s="35">
        <f>IF(Tabla2__2[[#This Row],[RTA]]=Tabla2__2[[#This Row],[RTA CORRECTA]],Tabla2__2[[#This Row],[TOTAL PUNTAJE]],0)</f>
        <v>0</v>
      </c>
      <c r="Q26" s="35">
        <f>IF(OR(H26="Dog Chow húmedo",H26="Cat Chow húmedo",H26="Fancy Feast",H26="Felix",H26="Proplan húmedo",H26="One húmedo",H26="Snack Abrazzos",H26="Snak Dentalife",H26="Arenilla Tidy Cat"),N26,0)</f>
        <v>0</v>
      </c>
      <c r="R26" s="35"/>
    </row>
    <row r="27" spans="1:18" x14ac:dyDescent="0.35">
      <c r="A27" s="35" t="s">
        <v>95</v>
      </c>
      <c r="B27" s="35" t="s">
        <v>173</v>
      </c>
      <c r="C27" t="s">
        <v>15</v>
      </c>
      <c r="D27" s="35" t="s">
        <v>85</v>
      </c>
      <c r="E27" s="35">
        <v>424810</v>
      </c>
      <c r="F27" s="35" t="s">
        <v>175</v>
      </c>
      <c r="G27" s="35" t="s">
        <v>91</v>
      </c>
      <c r="H27" s="35" t="s">
        <v>94</v>
      </c>
      <c r="I27" s="36"/>
      <c r="J27" s="35">
        <v>30249632</v>
      </c>
      <c r="K27" s="35" t="s">
        <v>104</v>
      </c>
      <c r="L27" s="35" t="str">
        <f>_xlfn.XLOOKUP(Tabla2__2[[#This Row],[CODIGO RUTA]],'DATA INFORME'!I:I,'DATA INFORME'!K:K)</f>
        <v>SI</v>
      </c>
      <c r="M27" s="35" t="str">
        <f>IF(Tabla2__2[[#This Row],[MYSTERY EFECTIVO]]="SI",_xlfn.XLOOKUP(Tabla2__2[[#This Row],[PREGUNTA]],ENCUESTA!G:G,ENCUESTA!D:D),"N/A")</f>
        <v>UNIFORME</v>
      </c>
      <c r="N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 s="35" t="str">
        <f>_xlfn.XLOOKUP(Tabla2__2[[#This Row],[PREGUNTA]],ENCUESTA!G:G,ENCUESTA!H:H)</f>
        <v>NO</v>
      </c>
      <c r="P27" s="35">
        <f>IF(Tabla2__2[[#This Row],[RTA]]=Tabla2__2[[#This Row],[RTA CORRECTA]],Tabla2__2[[#This Row],[TOTAL PUNTAJE]],0)</f>
        <v>1.5</v>
      </c>
      <c r="Q27" s="35">
        <f>IF(OR(H27="Dog Chow húmedo",H27="Cat Chow húmedo",H27="Fancy Feast",H27="Felix",H27="Proplan húmedo",H27="One húmedo",H27="Snack Abrazzos",H27="Snak Dentalife",H27="Arenilla Tidy Cat"),N27,0)</f>
        <v>0</v>
      </c>
      <c r="R27" s="35"/>
    </row>
    <row r="28" spans="1:18" x14ac:dyDescent="0.35">
      <c r="A28" s="35" t="s">
        <v>95</v>
      </c>
      <c r="B28" s="35" t="s">
        <v>173</v>
      </c>
      <c r="C28" t="s">
        <v>15</v>
      </c>
      <c r="D28" s="35" t="s">
        <v>85</v>
      </c>
      <c r="E28" s="35">
        <v>424810</v>
      </c>
      <c r="F28" s="35" t="s">
        <v>175</v>
      </c>
      <c r="G28" s="35" t="s">
        <v>109</v>
      </c>
      <c r="H28" s="35" t="s">
        <v>20</v>
      </c>
      <c r="I28" s="36"/>
      <c r="J28" s="35">
        <v>30249632</v>
      </c>
      <c r="K28" s="35" t="s">
        <v>104</v>
      </c>
      <c r="L28" s="35" t="str">
        <f>_xlfn.XLOOKUP(Tabla2__2[[#This Row],[CODIGO RUTA]],'DATA INFORME'!I:I,'DATA INFORME'!K:K)</f>
        <v>SI</v>
      </c>
      <c r="M28" s="35" t="str">
        <f>IF(Tabla2__2[[#This Row],[MYSTERY EFECTIVO]]="SI",_xlfn.XLOOKUP(Tabla2__2[[#This Row],[PREGUNTA]],ENCUESTA!G:G,ENCUESTA!D:D),"N/A")</f>
        <v>N/A</v>
      </c>
      <c r="N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8" s="35">
        <f>_xlfn.XLOOKUP(Tabla2__2[[#This Row],[PREGUNTA]],ENCUESTA!G:G,ENCUESTA!H:H)</f>
        <v>0</v>
      </c>
      <c r="P28" s="35">
        <f>IF(Tabla2__2[[#This Row],[RTA]]=Tabla2__2[[#This Row],[RTA CORRECTA]],Tabla2__2[[#This Row],[TOTAL PUNTAJE]],0)</f>
        <v>0</v>
      </c>
      <c r="Q28" s="35">
        <f>IF(OR(H28="Dog Chow húmedo",H28="Cat Chow húmedo",H28="Fancy Feast",H28="Felix",H28="Proplan húmedo",H28="One húmedo",H28="Snack Abrazzos",H28="Snak Dentalife",H28="Arenilla Tidy Cat"),N28,0)</f>
        <v>0</v>
      </c>
      <c r="R28" s="35"/>
    </row>
    <row r="29" spans="1:18" x14ac:dyDescent="0.35">
      <c r="A29" s="35" t="s">
        <v>95</v>
      </c>
      <c r="B29" s="35" t="s">
        <v>173</v>
      </c>
      <c r="C29" t="s">
        <v>15</v>
      </c>
      <c r="D29" s="35" t="s">
        <v>85</v>
      </c>
      <c r="E29" s="35">
        <v>424810</v>
      </c>
      <c r="F29" s="35" t="s">
        <v>175</v>
      </c>
      <c r="G29" s="35" t="s">
        <v>87</v>
      </c>
      <c r="H29" s="35" t="s">
        <v>20</v>
      </c>
      <c r="I29" s="36"/>
      <c r="J29" s="35">
        <v>30249632</v>
      </c>
      <c r="K29" s="35" t="s">
        <v>104</v>
      </c>
      <c r="L29" s="35" t="str">
        <f>_xlfn.XLOOKUP(Tabla2__2[[#This Row],[CODIGO RUTA]],'DATA INFORME'!I:I,'DATA INFORME'!K:K)</f>
        <v>SI</v>
      </c>
      <c r="M29" s="35" t="str">
        <f>IF(Tabla2__2[[#This Row],[MYSTERY EFECTIVO]]="SI",_xlfn.XLOOKUP(Tabla2__2[[#This Row],[PREGUNTA]],ENCUESTA!G:G,ENCUESTA!D:D),"N/A")</f>
        <v>UNIFORME</v>
      </c>
      <c r="N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 s="35" t="str">
        <f>_xlfn.XLOOKUP(Tabla2__2[[#This Row],[PREGUNTA]],ENCUESTA!G:G,ENCUESTA!H:H)</f>
        <v>SI</v>
      </c>
      <c r="P29" s="35">
        <f>IF(Tabla2__2[[#This Row],[RTA]]=Tabla2__2[[#This Row],[RTA CORRECTA]],Tabla2__2[[#This Row],[TOTAL PUNTAJE]],0)</f>
        <v>1.5</v>
      </c>
      <c r="Q29" s="35">
        <f>IF(OR(H29="Dog Chow húmedo",H29="Cat Chow húmedo",H29="Fancy Feast",H29="Felix",H29="Proplan húmedo",H29="One húmedo",H29="Snack Abrazzos",H29="Snak Dentalife",H29="Arenilla Tidy Cat"),N29,0)</f>
        <v>0</v>
      </c>
      <c r="R29" s="35"/>
    </row>
    <row r="30" spans="1:18" x14ac:dyDescent="0.35">
      <c r="A30" s="35" t="s">
        <v>95</v>
      </c>
      <c r="B30" s="35" t="s">
        <v>173</v>
      </c>
      <c r="C30" t="s">
        <v>15</v>
      </c>
      <c r="D30" s="35" t="s">
        <v>85</v>
      </c>
      <c r="E30" s="35">
        <v>424810</v>
      </c>
      <c r="F30" s="35" t="s">
        <v>175</v>
      </c>
      <c r="G30" s="35" t="s">
        <v>110</v>
      </c>
      <c r="H30" s="35" t="s">
        <v>20</v>
      </c>
      <c r="I30" s="36"/>
      <c r="J30" s="35">
        <v>30249632</v>
      </c>
      <c r="K30" s="35" t="s">
        <v>104</v>
      </c>
      <c r="L30" s="35" t="str">
        <f>_xlfn.XLOOKUP(Tabla2__2[[#This Row],[CODIGO RUTA]],'DATA INFORME'!I:I,'DATA INFORME'!K:K)</f>
        <v>SI</v>
      </c>
      <c r="M30" s="35" t="str">
        <f>IF(Tabla2__2[[#This Row],[MYSTERY EFECTIVO]]="SI",_xlfn.XLOOKUP(Tabla2__2[[#This Row],[PREGUNTA]],ENCUESTA!G:G,ENCUESTA!D:D),"N/A")</f>
        <v>UNIFORME</v>
      </c>
      <c r="N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 s="35" t="str">
        <f>_xlfn.XLOOKUP(Tabla2__2[[#This Row],[PREGUNTA]],ENCUESTA!G:G,ENCUESTA!H:H)</f>
        <v>SI</v>
      </c>
      <c r="P30" s="35">
        <f>IF(Tabla2__2[[#This Row],[RTA]]=Tabla2__2[[#This Row],[RTA CORRECTA]],Tabla2__2[[#This Row],[TOTAL PUNTAJE]],0)</f>
        <v>1.5</v>
      </c>
      <c r="Q30" s="35">
        <f>IF(OR(H30="Dog Chow húmedo",H30="Cat Chow húmedo",H30="Fancy Feast",H30="Felix",H30="Proplan húmedo",H30="One húmedo",H30="Snack Abrazzos",H30="Snak Dentalife",H30="Arenilla Tidy Cat"),N30,0)</f>
        <v>0</v>
      </c>
      <c r="R30" s="35"/>
    </row>
    <row r="31" spans="1:18" x14ac:dyDescent="0.35">
      <c r="A31" s="35" t="s">
        <v>95</v>
      </c>
      <c r="B31" s="35" t="s">
        <v>173</v>
      </c>
      <c r="C31" t="s">
        <v>15</v>
      </c>
      <c r="D31" s="35" t="s">
        <v>85</v>
      </c>
      <c r="E31" s="35">
        <v>424810</v>
      </c>
      <c r="F31" s="35" t="s">
        <v>175</v>
      </c>
      <c r="G31" s="35" t="s">
        <v>35</v>
      </c>
      <c r="H31" s="35" t="s">
        <v>20</v>
      </c>
      <c r="I31" s="36"/>
      <c r="J31" s="35">
        <v>30249632</v>
      </c>
      <c r="K31" s="35" t="s">
        <v>104</v>
      </c>
      <c r="L31" s="35" t="str">
        <f>_xlfn.XLOOKUP(Tabla2__2[[#This Row],[CODIGO RUTA]],'DATA INFORME'!I:I,'DATA INFORME'!K:K)</f>
        <v>SI</v>
      </c>
      <c r="M31" s="35" t="str">
        <f>IF(Tabla2__2[[#This Row],[MYSTERY EFECTIVO]]="SI",_xlfn.XLOOKUP(Tabla2__2[[#This Row],[PREGUNTA]],ENCUESTA!G:G,ENCUESTA!D:D),"N/A")</f>
        <v>UNIFORME</v>
      </c>
      <c r="N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 s="35" t="str">
        <f>_xlfn.XLOOKUP(Tabla2__2[[#This Row],[PREGUNTA]],ENCUESTA!G:G,ENCUESTA!H:H)</f>
        <v>SI</v>
      </c>
      <c r="P31" s="35">
        <f>IF(Tabla2__2[[#This Row],[RTA]]=Tabla2__2[[#This Row],[RTA CORRECTA]],Tabla2__2[[#This Row],[TOTAL PUNTAJE]],0)</f>
        <v>1.5</v>
      </c>
      <c r="Q31" s="35">
        <f>IF(OR(H31="Dog Chow húmedo",H31="Cat Chow húmedo",H31="Fancy Feast",H31="Felix",H31="Proplan húmedo",H31="One húmedo",H31="Snack Abrazzos",H31="Snak Dentalife",H31="Arenilla Tidy Cat"),N31,0)</f>
        <v>0</v>
      </c>
      <c r="R31" s="35"/>
    </row>
    <row r="32" spans="1:18" x14ac:dyDescent="0.35">
      <c r="A32" s="35" t="s">
        <v>95</v>
      </c>
      <c r="B32" s="35" t="s">
        <v>173</v>
      </c>
      <c r="C32" t="s">
        <v>15</v>
      </c>
      <c r="D32" s="35" t="s">
        <v>85</v>
      </c>
      <c r="E32" s="35">
        <v>424810</v>
      </c>
      <c r="F32" s="35" t="s">
        <v>175</v>
      </c>
      <c r="G32" s="35" t="s">
        <v>111</v>
      </c>
      <c r="H32" s="35" t="s">
        <v>94</v>
      </c>
      <c r="I32" s="36"/>
      <c r="J32" s="35">
        <v>30249632</v>
      </c>
      <c r="K32" s="35" t="s">
        <v>104</v>
      </c>
      <c r="L32" s="35" t="str">
        <f>_xlfn.XLOOKUP(Tabla2__2[[#This Row],[CODIGO RUTA]],'DATA INFORME'!I:I,'DATA INFORME'!K:K)</f>
        <v>SI</v>
      </c>
      <c r="M32" s="35" t="str">
        <f>IF(Tabla2__2[[#This Row],[MYSTERY EFECTIVO]]="SI",_xlfn.XLOOKUP(Tabla2__2[[#This Row],[PREGUNTA]],ENCUESTA!G:G,ENCUESTA!D:D),"N/A")</f>
        <v>UNIFORME</v>
      </c>
      <c r="N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 s="35" t="str">
        <f>_xlfn.XLOOKUP(Tabla2__2[[#This Row],[PREGUNTA]],ENCUESTA!G:G,ENCUESTA!H:H)</f>
        <v>NO</v>
      </c>
      <c r="P32" s="35">
        <f>IF(Tabla2__2[[#This Row],[RTA]]=Tabla2__2[[#This Row],[RTA CORRECTA]],Tabla2__2[[#This Row],[TOTAL PUNTAJE]],0)</f>
        <v>1.5</v>
      </c>
      <c r="Q32" s="35">
        <f>IF(OR(H32="Dog Chow húmedo",H32="Cat Chow húmedo",H32="Fancy Feast",H32="Felix",H32="Proplan húmedo",H32="One húmedo",H32="Snack Abrazzos",H32="Snak Dentalife",H32="Arenilla Tidy Cat"),N32,0)</f>
        <v>0</v>
      </c>
      <c r="R32" s="35"/>
    </row>
    <row r="33" spans="1:18" x14ac:dyDescent="0.35">
      <c r="A33" s="35" t="s">
        <v>95</v>
      </c>
      <c r="B33" s="35" t="s">
        <v>173</v>
      </c>
      <c r="C33" t="s">
        <v>15</v>
      </c>
      <c r="D33" s="35" t="s">
        <v>85</v>
      </c>
      <c r="E33" s="35">
        <v>424810</v>
      </c>
      <c r="F33" s="35" t="s">
        <v>175</v>
      </c>
      <c r="G33" s="35" t="s">
        <v>88</v>
      </c>
      <c r="H33" s="35" t="s">
        <v>20</v>
      </c>
      <c r="I33" s="36"/>
      <c r="J33" s="35">
        <v>30249632</v>
      </c>
      <c r="K33" s="35" t="s">
        <v>104</v>
      </c>
      <c r="L33" s="35" t="str">
        <f>_xlfn.XLOOKUP(Tabla2__2[[#This Row],[CODIGO RUTA]],'DATA INFORME'!I:I,'DATA INFORME'!K:K)</f>
        <v>SI</v>
      </c>
      <c r="M33" s="35" t="str">
        <f>IF(Tabla2__2[[#This Row],[MYSTERY EFECTIVO]]="SI",_xlfn.XLOOKUP(Tabla2__2[[#This Row],[PREGUNTA]],ENCUESTA!G:G,ENCUESTA!D:D),"N/A")</f>
        <v>UNIFORME</v>
      </c>
      <c r="N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 s="35" t="str">
        <f>_xlfn.XLOOKUP(Tabla2__2[[#This Row],[PREGUNTA]],ENCUESTA!G:G,ENCUESTA!H:H)</f>
        <v>SI</v>
      </c>
      <c r="P33" s="35">
        <f>IF(Tabla2__2[[#This Row],[RTA]]=Tabla2__2[[#This Row],[RTA CORRECTA]],Tabla2__2[[#This Row],[TOTAL PUNTAJE]],0)</f>
        <v>1.5</v>
      </c>
      <c r="Q33" s="35">
        <f>IF(OR(H33="Dog Chow húmedo",H33="Cat Chow húmedo",H33="Fancy Feast",H33="Felix",H33="Proplan húmedo",H33="One húmedo",H33="Snack Abrazzos",H33="Snak Dentalife",H33="Arenilla Tidy Cat"),N33,0)</f>
        <v>0</v>
      </c>
      <c r="R33" s="35"/>
    </row>
    <row r="34" spans="1:18" x14ac:dyDescent="0.35">
      <c r="A34" s="35" t="s">
        <v>95</v>
      </c>
      <c r="B34" s="35" t="s">
        <v>173</v>
      </c>
      <c r="C34" t="s">
        <v>15</v>
      </c>
      <c r="D34" s="35" t="s">
        <v>85</v>
      </c>
      <c r="E34" s="35">
        <v>424810</v>
      </c>
      <c r="F34" s="35" t="s">
        <v>175</v>
      </c>
      <c r="G34" s="35" t="s">
        <v>89</v>
      </c>
      <c r="H34" s="35" t="s">
        <v>20</v>
      </c>
      <c r="I34" s="36"/>
      <c r="J34" s="35">
        <v>30249632</v>
      </c>
      <c r="K34" s="35" t="s">
        <v>104</v>
      </c>
      <c r="L34" s="35" t="str">
        <f>_xlfn.XLOOKUP(Tabla2__2[[#This Row],[CODIGO RUTA]],'DATA INFORME'!I:I,'DATA INFORME'!K:K)</f>
        <v>SI</v>
      </c>
      <c r="M34" s="35" t="str">
        <f>IF(Tabla2__2[[#This Row],[MYSTERY EFECTIVO]]="SI",_xlfn.XLOOKUP(Tabla2__2[[#This Row],[PREGUNTA]],ENCUESTA!G:G,ENCUESTA!D:D),"N/A")</f>
        <v>UNIFORME</v>
      </c>
      <c r="N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 s="35" t="str">
        <f>_xlfn.XLOOKUP(Tabla2__2[[#This Row],[PREGUNTA]],ENCUESTA!G:G,ENCUESTA!H:H)</f>
        <v>SI</v>
      </c>
      <c r="P34" s="35">
        <f>IF(Tabla2__2[[#This Row],[RTA]]=Tabla2__2[[#This Row],[RTA CORRECTA]],Tabla2__2[[#This Row],[TOTAL PUNTAJE]],0)</f>
        <v>1.5</v>
      </c>
      <c r="Q34" s="35">
        <f>IF(OR(H34="Dog Chow húmedo",H34="Cat Chow húmedo",H34="Fancy Feast",H34="Felix",H34="Proplan húmedo",H34="One húmedo",H34="Snack Abrazzos",H34="Snak Dentalife",H34="Arenilla Tidy Cat"),N34,0)</f>
        <v>0</v>
      </c>
      <c r="R34" s="35"/>
    </row>
    <row r="35" spans="1:18" x14ac:dyDescent="0.35">
      <c r="A35" s="35" t="s">
        <v>95</v>
      </c>
      <c r="B35" s="35" t="s">
        <v>173</v>
      </c>
      <c r="C35" t="s">
        <v>15</v>
      </c>
      <c r="D35" s="35" t="s">
        <v>85</v>
      </c>
      <c r="E35" s="35">
        <v>424810</v>
      </c>
      <c r="F35" s="35" t="s">
        <v>175</v>
      </c>
      <c r="G35" s="35" t="s">
        <v>86</v>
      </c>
      <c r="H35" s="35" t="s">
        <v>20</v>
      </c>
      <c r="I35" s="36"/>
      <c r="J35" s="35">
        <v>30249632</v>
      </c>
      <c r="K35" s="35" t="s">
        <v>104</v>
      </c>
      <c r="L35" s="35" t="str">
        <f>_xlfn.XLOOKUP(Tabla2__2[[#This Row],[CODIGO RUTA]],'DATA INFORME'!I:I,'DATA INFORME'!K:K)</f>
        <v>SI</v>
      </c>
      <c r="M35" s="35" t="str">
        <f>IF(Tabla2__2[[#This Row],[MYSTERY EFECTIVO]]="SI",_xlfn.XLOOKUP(Tabla2__2[[#This Row],[PREGUNTA]],ENCUESTA!G:G,ENCUESTA!D:D),"N/A")</f>
        <v>HORARIO</v>
      </c>
      <c r="N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35" s="35" t="str">
        <f>_xlfn.XLOOKUP(Tabla2__2[[#This Row],[PREGUNTA]],ENCUESTA!G:G,ENCUESTA!H:H)</f>
        <v>SI</v>
      </c>
      <c r="P35" s="35">
        <f>IF(Tabla2__2[[#This Row],[RTA]]=Tabla2__2[[#This Row],[RTA CORRECTA]],Tabla2__2[[#This Row],[TOTAL PUNTAJE]],0)</f>
        <v>20</v>
      </c>
      <c r="Q35" s="35">
        <f>IF(OR(H35="Dog Chow húmedo",H35="Cat Chow húmedo",H35="Fancy Feast",H35="Felix",H35="Proplan húmedo",H35="One húmedo",H35="Snack Abrazzos",H35="Snak Dentalife",H35="Arenilla Tidy Cat"),N35,0)</f>
        <v>0</v>
      </c>
      <c r="R35" s="35"/>
    </row>
    <row r="36" spans="1:18" x14ac:dyDescent="0.35">
      <c r="A36" s="35" t="s">
        <v>95</v>
      </c>
      <c r="B36" s="35" t="s">
        <v>173</v>
      </c>
      <c r="C36" t="s">
        <v>15</v>
      </c>
      <c r="D36" s="35" t="s">
        <v>85</v>
      </c>
      <c r="E36" s="35">
        <v>424810</v>
      </c>
      <c r="F36" s="35" t="s">
        <v>175</v>
      </c>
      <c r="G36" s="35" t="s">
        <v>128</v>
      </c>
      <c r="H36" s="35" t="s">
        <v>20</v>
      </c>
      <c r="I36" s="36"/>
      <c r="J36" s="35">
        <v>30249632</v>
      </c>
      <c r="K36" s="35" t="s">
        <v>104</v>
      </c>
      <c r="L36" s="35" t="str">
        <f>_xlfn.XLOOKUP(Tabla2__2[[#This Row],[CODIGO RUTA]],'DATA INFORME'!I:I,'DATA INFORME'!K:K)</f>
        <v>SI</v>
      </c>
      <c r="M36" s="35" t="str">
        <f>IF(Tabla2__2[[#This Row],[MYSTERY EFECTIVO]]="SI",_xlfn.XLOOKUP(Tabla2__2[[#This Row],[PREGUNTA]],ENCUESTA!G:G,ENCUESTA!D:D),"N/A")</f>
        <v>LABOR DE VENTA</v>
      </c>
      <c r="N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6" s="35" t="str">
        <f>_xlfn.XLOOKUP(Tabla2__2[[#This Row],[PREGUNTA]],ENCUESTA!G:G,ENCUESTA!H:H)</f>
        <v>SI</v>
      </c>
      <c r="P36" s="35">
        <f>IF(Tabla2__2[[#This Row],[RTA]]=Tabla2__2[[#This Row],[RTA CORRECTA]],Tabla2__2[[#This Row],[TOTAL PUNTAJE]],0)</f>
        <v>3.75</v>
      </c>
      <c r="Q36" s="35">
        <f>IF(OR(H36="Dog Chow húmedo",H36="Cat Chow húmedo",H36="Fancy Feast",H36="Felix",H36="Proplan húmedo",H36="One húmedo",H36="Snack Abrazzos",H36="Snak Dentalife",H36="Arenilla Tidy Cat"),N36,0)</f>
        <v>0</v>
      </c>
      <c r="R36" s="35"/>
    </row>
    <row r="37" spans="1:18" x14ac:dyDescent="0.35">
      <c r="A37" s="35" t="s">
        <v>95</v>
      </c>
      <c r="B37" s="35" t="s">
        <v>173</v>
      </c>
      <c r="C37" t="s">
        <v>15</v>
      </c>
      <c r="D37" s="35" t="s">
        <v>85</v>
      </c>
      <c r="E37" s="35">
        <v>424810</v>
      </c>
      <c r="F37" s="35" t="s">
        <v>175</v>
      </c>
      <c r="G37" s="35" t="s">
        <v>115</v>
      </c>
      <c r="H37" s="35" t="s">
        <v>20</v>
      </c>
      <c r="I37" s="36"/>
      <c r="J37" s="35">
        <v>30249632</v>
      </c>
      <c r="K37" s="35" t="s">
        <v>104</v>
      </c>
      <c r="L37" s="35" t="str">
        <f>_xlfn.XLOOKUP(Tabla2__2[[#This Row],[CODIGO RUTA]],'DATA INFORME'!I:I,'DATA INFORME'!K:K)</f>
        <v>SI</v>
      </c>
      <c r="M37" s="35" t="str">
        <f>IF(Tabla2__2[[#This Row],[MYSTERY EFECTIVO]]="SI",_xlfn.XLOOKUP(Tabla2__2[[#This Row],[PREGUNTA]],ENCUESTA!G:G,ENCUESTA!D:D),"N/A")</f>
        <v>LABOR DE VENTA</v>
      </c>
      <c r="N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7" s="35" t="str">
        <f>_xlfn.XLOOKUP(Tabla2__2[[#This Row],[PREGUNTA]],ENCUESTA!G:G,ENCUESTA!H:H)</f>
        <v>SI</v>
      </c>
      <c r="P37" s="35">
        <f>IF(Tabla2__2[[#This Row],[RTA]]=Tabla2__2[[#This Row],[RTA CORRECTA]],Tabla2__2[[#This Row],[TOTAL PUNTAJE]],0)</f>
        <v>3.75</v>
      </c>
      <c r="Q37" s="35">
        <f>IF(OR(H37="Dog Chow húmedo",H37="Cat Chow húmedo",H37="Fancy Feast",H37="Felix",H37="Proplan húmedo",H37="One húmedo",H37="Snack Abrazzos",H37="Snak Dentalife",H37="Arenilla Tidy Cat"),N37,0)</f>
        <v>0</v>
      </c>
      <c r="R37" s="35"/>
    </row>
    <row r="38" spans="1:18" x14ac:dyDescent="0.35">
      <c r="A38" s="35" t="s">
        <v>95</v>
      </c>
      <c r="B38" s="35" t="s">
        <v>173</v>
      </c>
      <c r="C38" t="s">
        <v>15</v>
      </c>
      <c r="D38" s="35" t="s">
        <v>85</v>
      </c>
      <c r="E38" s="35">
        <v>424810</v>
      </c>
      <c r="F38" s="35" t="s">
        <v>175</v>
      </c>
      <c r="G38" s="35" t="s">
        <v>116</v>
      </c>
      <c r="H38" s="35" t="s">
        <v>20</v>
      </c>
      <c r="I38" s="36"/>
      <c r="J38" s="35">
        <v>30249632</v>
      </c>
      <c r="K38" s="35" t="s">
        <v>104</v>
      </c>
      <c r="L38" s="35" t="str">
        <f>_xlfn.XLOOKUP(Tabla2__2[[#This Row],[CODIGO RUTA]],'DATA INFORME'!I:I,'DATA INFORME'!K:K)</f>
        <v>SI</v>
      </c>
      <c r="M38" s="35" t="str">
        <f>IF(Tabla2__2[[#This Row],[MYSTERY EFECTIVO]]="SI",_xlfn.XLOOKUP(Tabla2__2[[#This Row],[PREGUNTA]],ENCUESTA!G:G,ENCUESTA!D:D),"N/A")</f>
        <v>LABOR DE VENTA</v>
      </c>
      <c r="N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38" s="35" t="str">
        <f>_xlfn.XLOOKUP(Tabla2__2[[#This Row],[PREGUNTA]],ENCUESTA!G:G,ENCUESTA!H:H)</f>
        <v>SI</v>
      </c>
      <c r="P38" s="35">
        <f>IF(Tabla2__2[[#This Row],[RTA]]=Tabla2__2[[#This Row],[RTA CORRECTA]],Tabla2__2[[#This Row],[TOTAL PUNTAJE]],0)</f>
        <v>3.75</v>
      </c>
      <c r="Q38" s="35">
        <f>IF(OR(H38="Dog Chow húmedo",H38="Cat Chow húmedo",H38="Fancy Feast",H38="Felix",H38="Proplan húmedo",H38="One húmedo",H38="Snack Abrazzos",H38="Snak Dentalife",H38="Arenilla Tidy Cat"),N38,0)</f>
        <v>0</v>
      </c>
      <c r="R38" s="35"/>
    </row>
    <row r="39" spans="1:18" x14ac:dyDescent="0.35">
      <c r="A39" s="35" t="s">
        <v>95</v>
      </c>
      <c r="B39" s="35" t="s">
        <v>84</v>
      </c>
      <c r="C39" t="s">
        <v>14</v>
      </c>
      <c r="D39" s="35" t="s">
        <v>85</v>
      </c>
      <c r="E39" s="35">
        <v>421609</v>
      </c>
      <c r="F39" s="35" t="s">
        <v>181</v>
      </c>
      <c r="G39" s="35" t="s">
        <v>144</v>
      </c>
      <c r="H39" s="35" t="s">
        <v>20</v>
      </c>
      <c r="I39" s="36"/>
      <c r="J39" s="35">
        <v>30281524</v>
      </c>
      <c r="K39" s="35" t="s">
        <v>104</v>
      </c>
      <c r="L39" s="35" t="str">
        <f>_xlfn.XLOOKUP(Tabla2__2[[#This Row],[CODIGO RUTA]],'DATA INFORME'!I:I,'DATA INFORME'!K:K)</f>
        <v>SI</v>
      </c>
      <c r="M39" s="35" t="str">
        <f>IF(Tabla2__2[[#This Row],[MYSTERY EFECTIVO]]="SI",_xlfn.XLOOKUP(Tabla2__2[[#This Row],[PREGUNTA]],ENCUESTA!G:G,ENCUESTA!D:D),"N/A")</f>
        <v>PORTAFOLIO Y MANEJO DE OBJECIONES</v>
      </c>
      <c r="N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9" s="35" t="str">
        <f>_xlfn.XLOOKUP(Tabla2__2[[#This Row],[PREGUNTA]],ENCUESTA!G:G,ENCUESTA!H:H)</f>
        <v>SI</v>
      </c>
      <c r="P39" s="35">
        <f>IF(Tabla2__2[[#This Row],[RTA]]=Tabla2__2[[#This Row],[RTA CORRECTA]],Tabla2__2[[#This Row],[TOTAL PUNTAJE]],0)</f>
        <v>0</v>
      </c>
      <c r="Q39" s="35">
        <f>IF(OR(H39="Dog Chow húmedo",H39="Cat Chow húmedo",H39="Fancy Feast",H39="Felix",H39="Proplan húmedo",H39="One húmedo",H39="Snack Abrazzos",H39="Snak Dentalife",H39="Arenilla Tidy Cat"),N39,0)</f>
        <v>0</v>
      </c>
      <c r="R39" s="35"/>
    </row>
    <row r="40" spans="1:18" x14ac:dyDescent="0.35">
      <c r="A40" s="35" t="s">
        <v>95</v>
      </c>
      <c r="B40" s="35" t="s">
        <v>84</v>
      </c>
      <c r="C40" t="s">
        <v>14</v>
      </c>
      <c r="D40" s="35" t="s">
        <v>85</v>
      </c>
      <c r="E40" s="35">
        <v>421609</v>
      </c>
      <c r="F40" s="35" t="s">
        <v>181</v>
      </c>
      <c r="G40" s="35" t="s">
        <v>145</v>
      </c>
      <c r="H40" s="35" t="s">
        <v>20</v>
      </c>
      <c r="I40" s="36"/>
      <c r="J40" s="35">
        <v>30281524</v>
      </c>
      <c r="K40" s="35" t="s">
        <v>104</v>
      </c>
      <c r="L40" s="35" t="str">
        <f>_xlfn.XLOOKUP(Tabla2__2[[#This Row],[CODIGO RUTA]],'DATA INFORME'!I:I,'DATA INFORME'!K:K)</f>
        <v>SI</v>
      </c>
      <c r="M40" s="35" t="str">
        <f>IF(Tabla2__2[[#This Row],[MYSTERY EFECTIVO]]="SI",_xlfn.XLOOKUP(Tabla2__2[[#This Row],[PREGUNTA]],ENCUESTA!G:G,ENCUESTA!D:D),"N/A")</f>
        <v>PORTAFOLIO Y MANEJO DE OBJECIONES</v>
      </c>
      <c r="N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 s="35" t="str">
        <f>_xlfn.XLOOKUP(Tabla2__2[[#This Row],[PREGUNTA]],ENCUESTA!G:G,ENCUESTA!H:H)</f>
        <v>SI</v>
      </c>
      <c r="P40" s="35">
        <f>IF(Tabla2__2[[#This Row],[RTA]]=Tabla2__2[[#This Row],[RTA CORRECTA]],Tabla2__2[[#This Row],[TOTAL PUNTAJE]],0)</f>
        <v>0</v>
      </c>
      <c r="Q40" s="35">
        <f>IF(OR(H40="Dog Chow húmedo",H40="Cat Chow húmedo",H40="Fancy Feast",H40="Felix",H40="Proplan húmedo",H40="One húmedo",H40="Snack Abrazzos",H40="Snak Dentalife",H40="Arenilla Tidy Cat"),N40,0)</f>
        <v>0</v>
      </c>
      <c r="R40" s="35"/>
    </row>
    <row r="41" spans="1:18" x14ac:dyDescent="0.35">
      <c r="A41" s="35" t="s">
        <v>95</v>
      </c>
      <c r="B41" s="35" t="s">
        <v>84</v>
      </c>
      <c r="C41" t="s">
        <v>14</v>
      </c>
      <c r="D41" s="35" t="s">
        <v>85</v>
      </c>
      <c r="E41" s="35">
        <v>421609</v>
      </c>
      <c r="F41" s="35" t="s">
        <v>181</v>
      </c>
      <c r="G41" s="35" t="s">
        <v>135</v>
      </c>
      <c r="H41" s="35" t="s">
        <v>20</v>
      </c>
      <c r="I41" s="36"/>
      <c r="J41" s="35">
        <v>30281524</v>
      </c>
      <c r="K41" s="35" t="s">
        <v>104</v>
      </c>
      <c r="L41" s="35" t="str">
        <f>_xlfn.XLOOKUP(Tabla2__2[[#This Row],[CODIGO RUTA]],'DATA INFORME'!I:I,'DATA INFORME'!K:K)</f>
        <v>SI</v>
      </c>
      <c r="M41" s="35" t="str">
        <f>IF(Tabla2__2[[#This Row],[MYSTERY EFECTIVO]]="SI",_xlfn.XLOOKUP(Tabla2__2[[#This Row],[PREGUNTA]],ENCUESTA!G:G,ENCUESTA!D:D),"N/A")</f>
        <v>PORTAFOLIO Y MANEJO DE OBJECIONES</v>
      </c>
      <c r="N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1" s="35" t="str">
        <f>_xlfn.XLOOKUP(Tabla2__2[[#This Row],[PREGUNTA]],ENCUESTA!G:G,ENCUESTA!H:H)</f>
        <v>SI</v>
      </c>
      <c r="P41" s="35">
        <f>IF(Tabla2__2[[#This Row],[RTA]]=Tabla2__2[[#This Row],[RTA CORRECTA]],Tabla2__2[[#This Row],[TOTAL PUNTAJE]],0)</f>
        <v>0</v>
      </c>
      <c r="Q41" s="35">
        <f>IF(OR(H41="Dog Chow húmedo",H41="Cat Chow húmedo",H41="Fancy Feast",H41="Felix",H41="Proplan húmedo",H41="One húmedo",H41="Snack Abrazzos",H41="Snak Dentalife",H41="Arenilla Tidy Cat"),N41,0)</f>
        <v>0</v>
      </c>
      <c r="R41" s="35"/>
    </row>
    <row r="42" spans="1:18" x14ac:dyDescent="0.35">
      <c r="A42" s="35" t="s">
        <v>95</v>
      </c>
      <c r="B42" s="35" t="s">
        <v>84</v>
      </c>
      <c r="C42" t="s">
        <v>14</v>
      </c>
      <c r="D42" s="35" t="s">
        <v>85</v>
      </c>
      <c r="E42" s="35">
        <v>421609</v>
      </c>
      <c r="F42" s="35" t="s">
        <v>181</v>
      </c>
      <c r="G42" s="35" t="s">
        <v>112</v>
      </c>
      <c r="H42" s="35" t="s">
        <v>14</v>
      </c>
      <c r="I42" s="36"/>
      <c r="J42" s="35">
        <v>30281524</v>
      </c>
      <c r="K42" s="35" t="s">
        <v>104</v>
      </c>
      <c r="L42" s="35" t="str">
        <f>_xlfn.XLOOKUP(Tabla2__2[[#This Row],[CODIGO RUTA]],'DATA INFORME'!I:I,'DATA INFORME'!K:K)</f>
        <v>SI</v>
      </c>
      <c r="M42" s="35" t="str">
        <f>IF(Tabla2__2[[#This Row],[MYSTERY EFECTIVO]]="SI",_xlfn.XLOOKUP(Tabla2__2[[#This Row],[PREGUNTA]],ENCUESTA!G:G,ENCUESTA!D:D),"N/A")</f>
        <v>N/A</v>
      </c>
      <c r="N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2" s="35">
        <f>_xlfn.XLOOKUP(Tabla2__2[[#This Row],[PREGUNTA]],ENCUESTA!G:G,ENCUESTA!H:H)</f>
        <v>0</v>
      </c>
      <c r="P42" s="35">
        <f>IF(Tabla2__2[[#This Row],[RTA]]=Tabla2__2[[#This Row],[RTA CORRECTA]],Tabla2__2[[#This Row],[TOTAL PUNTAJE]],0)</f>
        <v>0</v>
      </c>
      <c r="Q42" s="35">
        <f>IF(OR(H42="Dog Chow húmedo",H42="Cat Chow húmedo",H42="Fancy Feast",H42="Felix",H42="Proplan húmedo",H42="One húmedo",H42="Snack Abrazzos",H42="Snak Dentalife",H42="Arenilla Tidy Cat"),N42,0)</f>
        <v>0</v>
      </c>
      <c r="R42" s="35"/>
    </row>
    <row r="43" spans="1:18" x14ac:dyDescent="0.35">
      <c r="A43" s="35" t="s">
        <v>95</v>
      </c>
      <c r="B43" s="35" t="s">
        <v>84</v>
      </c>
      <c r="C43" t="s">
        <v>14</v>
      </c>
      <c r="D43" s="35" t="s">
        <v>85</v>
      </c>
      <c r="E43" s="35">
        <v>421609</v>
      </c>
      <c r="F43" s="35" t="s">
        <v>181</v>
      </c>
      <c r="G43" s="35" t="s">
        <v>136</v>
      </c>
      <c r="H43" s="35" t="s">
        <v>20</v>
      </c>
      <c r="I43" s="36"/>
      <c r="J43" s="35">
        <v>30281524</v>
      </c>
      <c r="K43" s="35" t="s">
        <v>104</v>
      </c>
      <c r="L43" s="35" t="str">
        <f>_xlfn.XLOOKUP(Tabla2__2[[#This Row],[CODIGO RUTA]],'DATA INFORME'!I:I,'DATA INFORME'!K:K)</f>
        <v>SI</v>
      </c>
      <c r="M43" s="35" t="str">
        <f>IF(Tabla2__2[[#This Row],[MYSTERY EFECTIVO]]="SI",_xlfn.XLOOKUP(Tabla2__2[[#This Row],[PREGUNTA]],ENCUESTA!G:G,ENCUESTA!D:D),"N/A")</f>
        <v>PORTAFOLIO Y MANEJO DE OBJECIONES</v>
      </c>
      <c r="N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43" s="35" t="str">
        <f>_xlfn.XLOOKUP(Tabla2__2[[#This Row],[PREGUNTA]],ENCUESTA!G:G,ENCUESTA!H:H)</f>
        <v>SI</v>
      </c>
      <c r="P43" s="35">
        <f>IF(Tabla2__2[[#This Row],[RTA]]=Tabla2__2[[#This Row],[RTA CORRECTA]],Tabla2__2[[#This Row],[TOTAL PUNTAJE]],0)</f>
        <v>3</v>
      </c>
      <c r="Q43" s="35">
        <f>IF(OR(H43="Dog Chow húmedo",H43="Cat Chow húmedo",H43="Fancy Feast",H43="Felix",H43="Proplan húmedo",H43="One húmedo",H43="Snack Abrazzos",H43="Snak Dentalife",H43="Arenilla Tidy Cat"),N43,0)</f>
        <v>0</v>
      </c>
      <c r="R43" s="35"/>
    </row>
    <row r="44" spans="1:18" x14ac:dyDescent="0.35">
      <c r="A44" s="35" t="s">
        <v>95</v>
      </c>
      <c r="B44" s="35" t="s">
        <v>84</v>
      </c>
      <c r="C44" t="s">
        <v>14</v>
      </c>
      <c r="D44" s="35" t="s">
        <v>85</v>
      </c>
      <c r="E44" s="35">
        <v>421609</v>
      </c>
      <c r="F44" s="35" t="s">
        <v>181</v>
      </c>
      <c r="G44" s="35" t="s">
        <v>137</v>
      </c>
      <c r="H44" s="35" t="s">
        <v>20</v>
      </c>
      <c r="I44" s="36"/>
      <c r="J44" s="35">
        <v>30281524</v>
      </c>
      <c r="K44" s="35" t="s">
        <v>104</v>
      </c>
      <c r="L44" s="35" t="str">
        <f>_xlfn.XLOOKUP(Tabla2__2[[#This Row],[CODIGO RUTA]],'DATA INFORME'!I:I,'DATA INFORME'!K:K)</f>
        <v>SI</v>
      </c>
      <c r="M44" s="35" t="str">
        <f>IF(Tabla2__2[[#This Row],[MYSTERY EFECTIVO]]="SI",_xlfn.XLOOKUP(Tabla2__2[[#This Row],[PREGUNTA]],ENCUESTA!G:G,ENCUESTA!D:D),"N/A")</f>
        <v>PORTAFOLIO Y MANEJO DE OBJECIONES</v>
      </c>
      <c r="N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44" s="35" t="str">
        <f>_xlfn.XLOOKUP(Tabla2__2[[#This Row],[PREGUNTA]],ENCUESTA!G:G,ENCUESTA!H:H)</f>
        <v>SI</v>
      </c>
      <c r="P44" s="35">
        <f>IF(Tabla2__2[[#This Row],[RTA]]=Tabla2__2[[#This Row],[RTA CORRECTA]],Tabla2__2[[#This Row],[TOTAL PUNTAJE]],0)</f>
        <v>3</v>
      </c>
      <c r="Q44" s="35">
        <f>IF(OR(H44="Dog Chow húmedo",H44="Cat Chow húmedo",H44="Fancy Feast",H44="Felix",H44="Proplan húmedo",H44="One húmedo",H44="Snack Abrazzos",H44="Snak Dentalife",H44="Arenilla Tidy Cat"),N44,0)</f>
        <v>0</v>
      </c>
      <c r="R44" s="35"/>
    </row>
    <row r="45" spans="1:18" x14ac:dyDescent="0.35">
      <c r="A45" s="35" t="s">
        <v>95</v>
      </c>
      <c r="B45" s="35" t="s">
        <v>84</v>
      </c>
      <c r="C45" t="s">
        <v>14</v>
      </c>
      <c r="D45" s="35" t="s">
        <v>85</v>
      </c>
      <c r="E45" s="35">
        <v>421609</v>
      </c>
      <c r="F45" s="35" t="s">
        <v>181</v>
      </c>
      <c r="G45" s="35" t="s">
        <v>134</v>
      </c>
      <c r="H45" s="35" t="s">
        <v>20</v>
      </c>
      <c r="I45" s="36"/>
      <c r="J45" s="35">
        <v>30281524</v>
      </c>
      <c r="K45" s="35" t="s">
        <v>104</v>
      </c>
      <c r="L45" s="35" t="str">
        <f>_xlfn.XLOOKUP(Tabla2__2[[#This Row],[CODIGO RUTA]],'DATA INFORME'!I:I,'DATA INFORME'!K:K)</f>
        <v>SI</v>
      </c>
      <c r="M45" s="35" t="str">
        <f>IF(Tabla2__2[[#This Row],[MYSTERY EFECTIVO]]="SI",_xlfn.XLOOKUP(Tabla2__2[[#This Row],[PREGUNTA]],ENCUESTA!G:G,ENCUESTA!D:D),"N/A")</f>
        <v>PORTAFOLIO Y MANEJO DE OBJECIONES</v>
      </c>
      <c r="N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 s="35" t="str">
        <f>_xlfn.XLOOKUP(Tabla2__2[[#This Row],[PREGUNTA]],ENCUESTA!G:G,ENCUESTA!H:H)</f>
        <v>SI</v>
      </c>
      <c r="P45" s="35">
        <f>IF(Tabla2__2[[#This Row],[RTA]]=Tabla2__2[[#This Row],[RTA CORRECTA]],Tabla2__2[[#This Row],[TOTAL PUNTAJE]],0)</f>
        <v>0</v>
      </c>
      <c r="Q45" s="35">
        <f>IF(OR(H45="Dog Chow húmedo",H45="Cat Chow húmedo",H45="Fancy Feast",H45="Felix",H45="Proplan húmedo",H45="One húmedo",H45="Snack Abrazzos",H45="Snak Dentalife",H45="Arenilla Tidy Cat"),N45,0)</f>
        <v>0</v>
      </c>
      <c r="R45" s="35"/>
    </row>
    <row r="46" spans="1:18" x14ac:dyDescent="0.35">
      <c r="A46" s="35" t="s">
        <v>95</v>
      </c>
      <c r="B46" s="35" t="s">
        <v>84</v>
      </c>
      <c r="C46" t="s">
        <v>14</v>
      </c>
      <c r="D46" s="35" t="s">
        <v>85</v>
      </c>
      <c r="E46" s="35">
        <v>421609</v>
      </c>
      <c r="F46" s="35" t="s">
        <v>181</v>
      </c>
      <c r="G46" s="35" t="s">
        <v>138</v>
      </c>
      <c r="H46" s="35" t="s">
        <v>20</v>
      </c>
      <c r="I46" s="36"/>
      <c r="J46" s="35">
        <v>30281524</v>
      </c>
      <c r="K46" s="35" t="s">
        <v>104</v>
      </c>
      <c r="L46" s="35" t="str">
        <f>_xlfn.XLOOKUP(Tabla2__2[[#This Row],[CODIGO RUTA]],'DATA INFORME'!I:I,'DATA INFORME'!K:K)</f>
        <v>SI</v>
      </c>
      <c r="M46" s="35" t="str">
        <f>IF(Tabla2__2[[#This Row],[MYSTERY EFECTIVO]]="SI",_xlfn.XLOOKUP(Tabla2__2[[#This Row],[PREGUNTA]],ENCUESTA!G:G,ENCUESTA!D:D),"N/A")</f>
        <v>PORTAFOLIO Y MANEJO DE OBJECIONES</v>
      </c>
      <c r="N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46" s="35" t="str">
        <f>_xlfn.XLOOKUP(Tabla2__2[[#This Row],[PREGUNTA]],ENCUESTA!G:G,ENCUESTA!H:H)</f>
        <v>SI</v>
      </c>
      <c r="P46" s="35">
        <f>IF(Tabla2__2[[#This Row],[RTA]]=Tabla2__2[[#This Row],[RTA CORRECTA]],Tabla2__2[[#This Row],[TOTAL PUNTAJE]],0)</f>
        <v>3</v>
      </c>
      <c r="Q46" s="35">
        <f>IF(OR(H46="Dog Chow húmedo",H46="Cat Chow húmedo",H46="Fancy Feast",H46="Felix",H46="Proplan húmedo",H46="One húmedo",H46="Snack Abrazzos",H46="Snak Dentalife",H46="Arenilla Tidy Cat"),N46,0)</f>
        <v>0</v>
      </c>
      <c r="R46" s="35"/>
    </row>
    <row r="47" spans="1:18" x14ac:dyDescent="0.35">
      <c r="A47" s="35" t="s">
        <v>95</v>
      </c>
      <c r="B47" s="35" t="s">
        <v>84</v>
      </c>
      <c r="C47" t="s">
        <v>14</v>
      </c>
      <c r="D47" s="35" t="s">
        <v>85</v>
      </c>
      <c r="E47" s="35">
        <v>421609</v>
      </c>
      <c r="F47" s="35" t="s">
        <v>181</v>
      </c>
      <c r="G47" s="35" t="s">
        <v>140</v>
      </c>
      <c r="H47" s="35" t="s">
        <v>20</v>
      </c>
      <c r="I47" s="36"/>
      <c r="J47" s="35">
        <v>30281524</v>
      </c>
      <c r="K47" s="35" t="s">
        <v>104</v>
      </c>
      <c r="L47" s="35" t="str">
        <f>_xlfn.XLOOKUP(Tabla2__2[[#This Row],[CODIGO RUTA]],'DATA INFORME'!I:I,'DATA INFORME'!K:K)</f>
        <v>SI</v>
      </c>
      <c r="M47" s="35" t="str">
        <f>IF(Tabla2__2[[#This Row],[MYSTERY EFECTIVO]]="SI",_xlfn.XLOOKUP(Tabla2__2[[#This Row],[PREGUNTA]],ENCUESTA!G:G,ENCUESTA!D:D),"N/A")</f>
        <v>PORTAFOLIO Y MANEJO DE OBJECIONES</v>
      </c>
      <c r="N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47" s="35" t="str">
        <f>_xlfn.XLOOKUP(Tabla2__2[[#This Row],[PREGUNTA]],ENCUESTA!G:G,ENCUESTA!H:H)</f>
        <v>SI</v>
      </c>
      <c r="P47" s="35">
        <f>IF(Tabla2__2[[#This Row],[RTA]]=Tabla2__2[[#This Row],[RTA CORRECTA]],Tabla2__2[[#This Row],[TOTAL PUNTAJE]],0)</f>
        <v>3</v>
      </c>
      <c r="Q47" s="35">
        <f>IF(OR(H47="Dog Chow húmedo",H47="Cat Chow húmedo",H47="Fancy Feast",H47="Felix",H47="Proplan húmedo",H47="One húmedo",H47="Snack Abrazzos",H47="Snak Dentalife",H47="Arenilla Tidy Cat"),N47,0)</f>
        <v>0</v>
      </c>
      <c r="R47" s="35"/>
    </row>
    <row r="48" spans="1:18" x14ac:dyDescent="0.35">
      <c r="A48" s="35" t="s">
        <v>95</v>
      </c>
      <c r="B48" s="35" t="s">
        <v>84</v>
      </c>
      <c r="C48" t="s">
        <v>14</v>
      </c>
      <c r="D48" s="35" t="s">
        <v>85</v>
      </c>
      <c r="E48" s="35">
        <v>421609</v>
      </c>
      <c r="F48" s="35" t="s">
        <v>181</v>
      </c>
      <c r="G48" s="35" t="s">
        <v>141</v>
      </c>
      <c r="H48" s="35" t="s">
        <v>20</v>
      </c>
      <c r="I48" s="36"/>
      <c r="J48" s="35">
        <v>30281524</v>
      </c>
      <c r="K48" s="35" t="s">
        <v>104</v>
      </c>
      <c r="L48" s="35" t="str">
        <f>_xlfn.XLOOKUP(Tabla2__2[[#This Row],[CODIGO RUTA]],'DATA INFORME'!I:I,'DATA INFORME'!K:K)</f>
        <v>SI</v>
      </c>
      <c r="M48" s="35" t="str">
        <f>IF(Tabla2__2[[#This Row],[MYSTERY EFECTIVO]]="SI",_xlfn.XLOOKUP(Tabla2__2[[#This Row],[PREGUNTA]],ENCUESTA!G:G,ENCUESTA!D:D),"N/A")</f>
        <v>PORTAFOLIO Y MANEJO DE OBJECIONES</v>
      </c>
      <c r="N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48" s="35" t="str">
        <f>_xlfn.XLOOKUP(Tabla2__2[[#This Row],[PREGUNTA]],ENCUESTA!G:G,ENCUESTA!H:H)</f>
        <v>SI</v>
      </c>
      <c r="P48" s="35">
        <f>IF(Tabla2__2[[#This Row],[RTA]]=Tabla2__2[[#This Row],[RTA CORRECTA]],Tabla2__2[[#This Row],[TOTAL PUNTAJE]],0)</f>
        <v>3</v>
      </c>
      <c r="Q48" s="35">
        <f>IF(OR(H48="Dog Chow húmedo",H48="Cat Chow húmedo",H48="Fancy Feast",H48="Felix",H48="Proplan húmedo",H48="One húmedo",H48="Snack Abrazzos",H48="Snak Dentalife",H48="Arenilla Tidy Cat"),N48,0)</f>
        <v>0</v>
      </c>
      <c r="R48" s="35"/>
    </row>
    <row r="49" spans="1:18" x14ac:dyDescent="0.35">
      <c r="A49" s="35" t="s">
        <v>95</v>
      </c>
      <c r="B49" s="35" t="s">
        <v>84</v>
      </c>
      <c r="C49" t="s">
        <v>14</v>
      </c>
      <c r="D49" s="35" t="s">
        <v>85</v>
      </c>
      <c r="E49" s="35">
        <v>421609</v>
      </c>
      <c r="F49" s="35" t="s">
        <v>181</v>
      </c>
      <c r="G49" s="35" t="s">
        <v>113</v>
      </c>
      <c r="H49" s="35" t="s">
        <v>119</v>
      </c>
      <c r="I49" s="36"/>
      <c r="J49" s="35">
        <v>30281524</v>
      </c>
      <c r="K49" s="35" t="s">
        <v>104</v>
      </c>
      <c r="L49" s="35" t="str">
        <f>_xlfn.XLOOKUP(Tabla2__2[[#This Row],[CODIGO RUTA]],'DATA INFORME'!I:I,'DATA INFORME'!K:K)</f>
        <v>SI</v>
      </c>
      <c r="M49" s="35" t="str">
        <f>IF(Tabla2__2[[#This Row],[MYSTERY EFECTIVO]]="SI",_xlfn.XLOOKUP(Tabla2__2[[#This Row],[PREGUNTA]],ENCUESTA!G:G,ENCUESTA!D:D),"N/A")</f>
        <v>N/A</v>
      </c>
      <c r="N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9" s="35">
        <f>_xlfn.XLOOKUP(Tabla2__2[[#This Row],[PREGUNTA]],ENCUESTA!G:G,ENCUESTA!H:H)</f>
        <v>0</v>
      </c>
      <c r="P49" s="35">
        <f>IF(Tabla2__2[[#This Row],[RTA]]=Tabla2__2[[#This Row],[RTA CORRECTA]],Tabla2__2[[#This Row],[TOTAL PUNTAJE]],0)</f>
        <v>0</v>
      </c>
      <c r="Q49" s="35">
        <f>IF(OR(H49="Dog Chow húmedo",H49="Cat Chow húmedo",H49="Fancy Feast",H49="Felix",H49="Proplan húmedo",H49="One húmedo",H49="Snack Abrazzos",H49="Snak Dentalife",H49="Arenilla Tidy Cat"),N49,0)</f>
        <v>0</v>
      </c>
      <c r="R49" s="35"/>
    </row>
    <row r="50" spans="1:18" x14ac:dyDescent="0.35">
      <c r="A50" s="35" t="s">
        <v>95</v>
      </c>
      <c r="B50" s="35" t="s">
        <v>84</v>
      </c>
      <c r="C50" t="s">
        <v>14</v>
      </c>
      <c r="D50" s="35" t="s">
        <v>85</v>
      </c>
      <c r="E50" s="35">
        <v>421609</v>
      </c>
      <c r="F50" s="35" t="s">
        <v>181</v>
      </c>
      <c r="G50" s="35" t="s">
        <v>114</v>
      </c>
      <c r="H50" s="35" t="s">
        <v>20</v>
      </c>
      <c r="I50" s="36"/>
      <c r="J50" s="35">
        <v>30281524</v>
      </c>
      <c r="K50" s="35" t="s">
        <v>104</v>
      </c>
      <c r="L50" s="35" t="str">
        <f>_xlfn.XLOOKUP(Tabla2__2[[#This Row],[CODIGO RUTA]],'DATA INFORME'!I:I,'DATA INFORME'!K:K)</f>
        <v>SI</v>
      </c>
      <c r="M50" s="35" t="str">
        <f>IF(Tabla2__2[[#This Row],[MYSTERY EFECTIVO]]="SI",_xlfn.XLOOKUP(Tabla2__2[[#This Row],[PREGUNTA]],ENCUESTA!G:G,ENCUESTA!D:D),"N/A")</f>
        <v>LABOR DE VENTA</v>
      </c>
      <c r="N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0" s="35" t="str">
        <f>_xlfn.XLOOKUP(Tabla2__2[[#This Row],[PREGUNTA]],ENCUESTA!G:G,ENCUESTA!H:H)</f>
        <v>SI</v>
      </c>
      <c r="P50" s="35">
        <f>IF(Tabla2__2[[#This Row],[RTA]]=Tabla2__2[[#This Row],[RTA CORRECTA]],Tabla2__2[[#This Row],[TOTAL PUNTAJE]],0)</f>
        <v>3.75</v>
      </c>
      <c r="Q50" s="35">
        <f>IF(OR(H50="Dog Chow húmedo",H50="Cat Chow húmedo",H50="Fancy Feast",H50="Felix",H50="Proplan húmedo",H50="One húmedo",H50="Snack Abrazzos",H50="Snak Dentalife",H50="Arenilla Tidy Cat"),N50,0)</f>
        <v>0</v>
      </c>
      <c r="R50" s="35"/>
    </row>
    <row r="51" spans="1:18" x14ac:dyDescent="0.35">
      <c r="A51" s="35" t="s">
        <v>95</v>
      </c>
      <c r="B51" s="35" t="s">
        <v>84</v>
      </c>
      <c r="C51" t="s">
        <v>14</v>
      </c>
      <c r="D51" s="35" t="s">
        <v>85</v>
      </c>
      <c r="E51" s="35">
        <v>421609</v>
      </c>
      <c r="F51" s="35" t="s">
        <v>181</v>
      </c>
      <c r="G51" s="35" t="s">
        <v>128</v>
      </c>
      <c r="H51" s="35" t="s">
        <v>20</v>
      </c>
      <c r="I51" s="36"/>
      <c r="J51" s="35">
        <v>30281524</v>
      </c>
      <c r="K51" s="35" t="s">
        <v>104</v>
      </c>
      <c r="L51" s="35" t="str">
        <f>_xlfn.XLOOKUP(Tabla2__2[[#This Row],[CODIGO RUTA]],'DATA INFORME'!I:I,'DATA INFORME'!K:K)</f>
        <v>SI</v>
      </c>
      <c r="M51" s="35" t="str">
        <f>IF(Tabla2__2[[#This Row],[MYSTERY EFECTIVO]]="SI",_xlfn.XLOOKUP(Tabla2__2[[#This Row],[PREGUNTA]],ENCUESTA!G:G,ENCUESTA!D:D),"N/A")</f>
        <v>LABOR DE VENTA</v>
      </c>
      <c r="N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1" s="35" t="str">
        <f>_xlfn.XLOOKUP(Tabla2__2[[#This Row],[PREGUNTA]],ENCUESTA!G:G,ENCUESTA!H:H)</f>
        <v>SI</v>
      </c>
      <c r="P51" s="35">
        <f>IF(Tabla2__2[[#This Row],[RTA]]=Tabla2__2[[#This Row],[RTA CORRECTA]],Tabla2__2[[#This Row],[TOTAL PUNTAJE]],0)</f>
        <v>3.75</v>
      </c>
      <c r="Q51" s="35">
        <f>IF(OR(H51="Dog Chow húmedo",H51="Cat Chow húmedo",H51="Fancy Feast",H51="Felix",H51="Proplan húmedo",H51="One húmedo",H51="Snack Abrazzos",H51="Snak Dentalife",H51="Arenilla Tidy Cat"),N51,0)</f>
        <v>0</v>
      </c>
      <c r="R51" s="35"/>
    </row>
    <row r="52" spans="1:18" x14ac:dyDescent="0.35">
      <c r="A52" s="35" t="s">
        <v>95</v>
      </c>
      <c r="B52" s="35" t="s">
        <v>84</v>
      </c>
      <c r="C52" t="s">
        <v>14</v>
      </c>
      <c r="D52" s="35" t="s">
        <v>85</v>
      </c>
      <c r="E52" s="35">
        <v>421609</v>
      </c>
      <c r="F52" s="35" t="s">
        <v>181</v>
      </c>
      <c r="G52" s="35" t="s">
        <v>115</v>
      </c>
      <c r="H52" s="35" t="s">
        <v>20</v>
      </c>
      <c r="I52" s="36"/>
      <c r="J52" s="35">
        <v>30281524</v>
      </c>
      <c r="K52" s="35" t="s">
        <v>104</v>
      </c>
      <c r="L52" s="35" t="str">
        <f>_xlfn.XLOOKUP(Tabla2__2[[#This Row],[CODIGO RUTA]],'DATA INFORME'!I:I,'DATA INFORME'!K:K)</f>
        <v>SI</v>
      </c>
      <c r="M52" s="35" t="str">
        <f>IF(Tabla2__2[[#This Row],[MYSTERY EFECTIVO]]="SI",_xlfn.XLOOKUP(Tabla2__2[[#This Row],[PREGUNTA]],ENCUESTA!G:G,ENCUESTA!D:D),"N/A")</f>
        <v>LABOR DE VENTA</v>
      </c>
      <c r="N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52" s="35" t="str">
        <f>_xlfn.XLOOKUP(Tabla2__2[[#This Row],[PREGUNTA]],ENCUESTA!G:G,ENCUESTA!H:H)</f>
        <v>SI</v>
      </c>
      <c r="P52" s="35">
        <f>IF(Tabla2__2[[#This Row],[RTA]]=Tabla2__2[[#This Row],[RTA CORRECTA]],Tabla2__2[[#This Row],[TOTAL PUNTAJE]],0)</f>
        <v>3.75</v>
      </c>
      <c r="Q52" s="35">
        <f>IF(OR(H52="Dog Chow húmedo",H52="Cat Chow húmedo",H52="Fancy Feast",H52="Felix",H52="Proplan húmedo",H52="One húmedo",H52="Snack Abrazzos",H52="Snak Dentalife",H52="Arenilla Tidy Cat"),N52,0)</f>
        <v>0</v>
      </c>
      <c r="R52" s="35"/>
    </row>
    <row r="53" spans="1:18" x14ac:dyDescent="0.35">
      <c r="A53" s="35" t="s">
        <v>95</v>
      </c>
      <c r="B53" s="35" t="s">
        <v>84</v>
      </c>
      <c r="C53" t="s">
        <v>14</v>
      </c>
      <c r="D53" s="35" t="s">
        <v>85</v>
      </c>
      <c r="E53" s="35">
        <v>421609</v>
      </c>
      <c r="F53" s="35" t="s">
        <v>181</v>
      </c>
      <c r="G53" s="35" t="s">
        <v>139</v>
      </c>
      <c r="H53" s="35" t="s">
        <v>20</v>
      </c>
      <c r="I53" s="36"/>
      <c r="J53" s="35">
        <v>30281524</v>
      </c>
      <c r="K53" s="35" t="s">
        <v>104</v>
      </c>
      <c r="L53" s="35" t="str">
        <f>_xlfn.XLOOKUP(Tabla2__2[[#This Row],[CODIGO RUTA]],'DATA INFORME'!I:I,'DATA INFORME'!K:K)</f>
        <v>SI</v>
      </c>
      <c r="M53" s="35" t="str">
        <f>IF(Tabla2__2[[#This Row],[MYSTERY EFECTIVO]]="SI",_xlfn.XLOOKUP(Tabla2__2[[#This Row],[PREGUNTA]],ENCUESTA!G:G,ENCUESTA!D:D),"N/A")</f>
        <v>PORTAFOLIO Y MANEJO DE OBJECIONES</v>
      </c>
      <c r="N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53" s="35" t="str">
        <f>_xlfn.XLOOKUP(Tabla2__2[[#This Row],[PREGUNTA]],ENCUESTA!G:G,ENCUESTA!H:H)</f>
        <v>SI</v>
      </c>
      <c r="P53" s="35">
        <f>IF(Tabla2__2[[#This Row],[RTA]]=Tabla2__2[[#This Row],[RTA CORRECTA]],Tabla2__2[[#This Row],[TOTAL PUNTAJE]],0)</f>
        <v>3</v>
      </c>
      <c r="Q53" s="35">
        <f>IF(OR(H53="Dog Chow húmedo",H53="Cat Chow húmedo",H53="Fancy Feast",H53="Felix",H53="Proplan húmedo",H53="One húmedo",H53="Snack Abrazzos",H53="Snak Dentalife",H53="Arenilla Tidy Cat"),N53,0)</f>
        <v>0</v>
      </c>
      <c r="R53" s="35"/>
    </row>
    <row r="54" spans="1:18" x14ac:dyDescent="0.35">
      <c r="A54" s="35" t="s">
        <v>95</v>
      </c>
      <c r="B54" s="35" t="s">
        <v>84</v>
      </c>
      <c r="C54" t="s">
        <v>14</v>
      </c>
      <c r="D54" s="35" t="s">
        <v>85</v>
      </c>
      <c r="E54" s="35">
        <v>421609</v>
      </c>
      <c r="F54" s="35" t="s">
        <v>181</v>
      </c>
      <c r="G54" s="35" t="s">
        <v>133</v>
      </c>
      <c r="H54" s="35" t="s">
        <v>20</v>
      </c>
      <c r="I54" s="36"/>
      <c r="J54" s="35">
        <v>30281524</v>
      </c>
      <c r="K54" s="35" t="s">
        <v>104</v>
      </c>
      <c r="L54" s="35" t="str">
        <f>_xlfn.XLOOKUP(Tabla2__2[[#This Row],[CODIGO RUTA]],'DATA INFORME'!I:I,'DATA INFORME'!K:K)</f>
        <v>SI</v>
      </c>
      <c r="M54" s="35" t="str">
        <f>IF(Tabla2__2[[#This Row],[MYSTERY EFECTIVO]]="SI",_xlfn.XLOOKUP(Tabla2__2[[#This Row],[PREGUNTA]],ENCUESTA!G:G,ENCUESTA!D:D),"N/A")</f>
        <v>PORTAFOLIO Y MANEJO DE OBJECIONES</v>
      </c>
      <c r="N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4" s="35" t="str">
        <f>_xlfn.XLOOKUP(Tabla2__2[[#This Row],[PREGUNTA]],ENCUESTA!G:G,ENCUESTA!H:H)</f>
        <v>SI</v>
      </c>
      <c r="P54" s="35">
        <f>IF(Tabla2__2[[#This Row],[RTA]]=Tabla2__2[[#This Row],[RTA CORRECTA]],Tabla2__2[[#This Row],[TOTAL PUNTAJE]],0)</f>
        <v>0</v>
      </c>
      <c r="Q54" s="35">
        <f>IF(OR(H54="Dog Chow húmedo",H54="Cat Chow húmedo",H54="Fancy Feast",H54="Felix",H54="Proplan húmedo",H54="One húmedo",H54="Snack Abrazzos",H54="Snak Dentalife",H54="Arenilla Tidy Cat"),N54,0)</f>
        <v>0</v>
      </c>
      <c r="R54" s="35"/>
    </row>
    <row r="55" spans="1:18" x14ac:dyDescent="0.35">
      <c r="A55" s="35" t="s">
        <v>95</v>
      </c>
      <c r="B55" s="35" t="s">
        <v>84</v>
      </c>
      <c r="C55" t="s">
        <v>14</v>
      </c>
      <c r="D55" s="35" t="s">
        <v>85</v>
      </c>
      <c r="E55" s="35">
        <v>421609</v>
      </c>
      <c r="F55" s="35" t="s">
        <v>181</v>
      </c>
      <c r="G55" s="35" t="s">
        <v>132</v>
      </c>
      <c r="H55" s="35" t="s">
        <v>20</v>
      </c>
      <c r="I55" s="36"/>
      <c r="J55" s="35">
        <v>30281524</v>
      </c>
      <c r="K55" s="35" t="s">
        <v>104</v>
      </c>
      <c r="L55" s="35" t="str">
        <f>_xlfn.XLOOKUP(Tabla2__2[[#This Row],[CODIGO RUTA]],'DATA INFORME'!I:I,'DATA INFORME'!K:K)</f>
        <v>SI</v>
      </c>
      <c r="M55" s="35" t="str">
        <f>IF(Tabla2__2[[#This Row],[MYSTERY EFECTIVO]]="SI",_xlfn.XLOOKUP(Tabla2__2[[#This Row],[PREGUNTA]],ENCUESTA!G:G,ENCUESTA!D:D),"N/A")</f>
        <v>PORTAFOLIO Y MANEJO DE OBJECIONES</v>
      </c>
      <c r="N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5" s="35" t="str">
        <f>_xlfn.XLOOKUP(Tabla2__2[[#This Row],[PREGUNTA]],ENCUESTA!G:G,ENCUESTA!H:H)</f>
        <v>SI</v>
      </c>
      <c r="P55" s="35">
        <f>IF(Tabla2__2[[#This Row],[RTA]]=Tabla2__2[[#This Row],[RTA CORRECTA]],Tabla2__2[[#This Row],[TOTAL PUNTAJE]],0)</f>
        <v>0</v>
      </c>
      <c r="Q55" s="35">
        <f>IF(OR(H55="Dog Chow húmedo",H55="Cat Chow húmedo",H55="Fancy Feast",H55="Felix",H55="Proplan húmedo",H55="One húmedo",H55="Snack Abrazzos",H55="Snak Dentalife",H55="Arenilla Tidy Cat"),N55,0)</f>
        <v>0</v>
      </c>
      <c r="R55" s="35"/>
    </row>
    <row r="56" spans="1:18" x14ac:dyDescent="0.35">
      <c r="A56" s="35" t="s">
        <v>95</v>
      </c>
      <c r="B56" s="35" t="s">
        <v>84</v>
      </c>
      <c r="C56" t="s">
        <v>14</v>
      </c>
      <c r="D56" s="35" t="s">
        <v>85</v>
      </c>
      <c r="E56" s="35">
        <v>421609</v>
      </c>
      <c r="F56" s="35" t="s">
        <v>181</v>
      </c>
      <c r="G56" s="35" t="s">
        <v>131</v>
      </c>
      <c r="H56" s="35" t="s">
        <v>20</v>
      </c>
      <c r="I56" s="36"/>
      <c r="J56" s="35">
        <v>30281524</v>
      </c>
      <c r="K56" s="35" t="s">
        <v>104</v>
      </c>
      <c r="L56" s="35" t="str">
        <f>_xlfn.XLOOKUP(Tabla2__2[[#This Row],[CODIGO RUTA]],'DATA INFORME'!I:I,'DATA INFORME'!K:K)</f>
        <v>SI</v>
      </c>
      <c r="M56" s="35" t="str">
        <f>IF(Tabla2__2[[#This Row],[MYSTERY EFECTIVO]]="SI",_xlfn.XLOOKUP(Tabla2__2[[#This Row],[PREGUNTA]],ENCUESTA!G:G,ENCUESTA!D:D),"N/A")</f>
        <v>PORTAFOLIO Y MANEJO DE OBJECIONES</v>
      </c>
      <c r="N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56" s="35" t="str">
        <f>_xlfn.XLOOKUP(Tabla2__2[[#This Row],[PREGUNTA]],ENCUESTA!G:G,ENCUESTA!H:H)</f>
        <v>SI</v>
      </c>
      <c r="P56" s="35">
        <f>IF(Tabla2__2[[#This Row],[RTA]]=Tabla2__2[[#This Row],[RTA CORRECTA]],Tabla2__2[[#This Row],[TOTAL PUNTAJE]],0)</f>
        <v>6</v>
      </c>
      <c r="Q56" s="35">
        <f>IF(OR(H56="Dog Chow húmedo",H56="Cat Chow húmedo",H56="Fancy Feast",H56="Felix",H56="Proplan húmedo",H56="One húmedo",H56="Snack Abrazzos",H56="Snak Dentalife",H56="Arenilla Tidy Cat"),N56,0)</f>
        <v>0</v>
      </c>
      <c r="R56" s="35"/>
    </row>
    <row r="57" spans="1:18" x14ac:dyDescent="0.35">
      <c r="A57" s="35" t="s">
        <v>95</v>
      </c>
      <c r="B57" s="35" t="s">
        <v>173</v>
      </c>
      <c r="C57" t="s">
        <v>15</v>
      </c>
      <c r="D57" s="35" t="s">
        <v>85</v>
      </c>
      <c r="E57" s="35">
        <v>424810</v>
      </c>
      <c r="F57" s="35" t="s">
        <v>175</v>
      </c>
      <c r="G57" s="35" t="s">
        <v>117</v>
      </c>
      <c r="H57" s="35" t="s">
        <v>94</v>
      </c>
      <c r="I57" s="36"/>
      <c r="J57" s="35">
        <v>30249632</v>
      </c>
      <c r="K57" s="35" t="s">
        <v>104</v>
      </c>
      <c r="L57" s="35" t="str">
        <f>_xlfn.XLOOKUP(Tabla2__2[[#This Row],[CODIGO RUTA]],'DATA INFORME'!I:I,'DATA INFORME'!K:K)</f>
        <v>SI</v>
      </c>
      <c r="M57" s="35" t="str">
        <f>IF(Tabla2__2[[#This Row],[MYSTERY EFECTIVO]]="SI",_xlfn.XLOOKUP(Tabla2__2[[#This Row],[PREGUNTA]],ENCUESTA!G:G,ENCUESTA!D:D),"N/A")</f>
        <v>N/A</v>
      </c>
      <c r="N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7" s="35">
        <f>_xlfn.XLOOKUP(Tabla2__2[[#This Row],[PREGUNTA]],ENCUESTA!G:G,ENCUESTA!H:H)</f>
        <v>0</v>
      </c>
      <c r="P57" s="35">
        <f>IF(Tabla2__2[[#This Row],[RTA]]=Tabla2__2[[#This Row],[RTA CORRECTA]],Tabla2__2[[#This Row],[TOTAL PUNTAJE]],0)</f>
        <v>0</v>
      </c>
      <c r="Q57" s="35">
        <f>IF(OR(H57="Dog Chow húmedo",H57="Cat Chow húmedo",H57="Fancy Feast",H57="Felix",H57="Proplan húmedo",H57="One húmedo",H57="Snack Abrazzos",H57="Snak Dentalife",H57="Arenilla Tidy Cat"),N57,0)</f>
        <v>0</v>
      </c>
      <c r="R57" s="35"/>
    </row>
    <row r="58" spans="1:18" x14ac:dyDescent="0.35">
      <c r="A58" s="35" t="s">
        <v>95</v>
      </c>
      <c r="B58" s="35" t="s">
        <v>84</v>
      </c>
      <c r="C58" t="s">
        <v>14</v>
      </c>
      <c r="D58" s="35" t="s">
        <v>85</v>
      </c>
      <c r="E58" s="35">
        <v>421609</v>
      </c>
      <c r="F58" s="35" t="s">
        <v>181</v>
      </c>
      <c r="G58" s="35" t="s">
        <v>109</v>
      </c>
      <c r="H58" s="35" t="s">
        <v>20</v>
      </c>
      <c r="I58" s="36"/>
      <c r="J58" s="35">
        <v>30281524</v>
      </c>
      <c r="K58" s="35" t="s">
        <v>104</v>
      </c>
      <c r="L58" s="35" t="str">
        <f>_xlfn.XLOOKUP(Tabla2__2[[#This Row],[CODIGO RUTA]],'DATA INFORME'!I:I,'DATA INFORME'!K:K)</f>
        <v>SI</v>
      </c>
      <c r="M58" s="35" t="str">
        <f>IF(Tabla2__2[[#This Row],[MYSTERY EFECTIVO]]="SI",_xlfn.XLOOKUP(Tabla2__2[[#This Row],[PREGUNTA]],ENCUESTA!G:G,ENCUESTA!D:D),"N/A")</f>
        <v>N/A</v>
      </c>
      <c r="N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58" s="35">
        <f>_xlfn.XLOOKUP(Tabla2__2[[#This Row],[PREGUNTA]],ENCUESTA!G:G,ENCUESTA!H:H)</f>
        <v>0</v>
      </c>
      <c r="P58" s="35">
        <f>IF(Tabla2__2[[#This Row],[RTA]]=Tabla2__2[[#This Row],[RTA CORRECTA]],Tabla2__2[[#This Row],[TOTAL PUNTAJE]],0)</f>
        <v>0</v>
      </c>
      <c r="Q58" s="35">
        <f>IF(OR(H58="Dog Chow húmedo",H58="Cat Chow húmedo",H58="Fancy Feast",H58="Felix",H58="Proplan húmedo",H58="One húmedo",H58="Snack Abrazzos",H58="Snak Dentalife",H58="Arenilla Tidy Cat"),N58,0)</f>
        <v>0</v>
      </c>
      <c r="R58" s="35"/>
    </row>
    <row r="59" spans="1:18" x14ac:dyDescent="0.35">
      <c r="A59" s="35" t="s">
        <v>95</v>
      </c>
      <c r="B59" s="35" t="s">
        <v>84</v>
      </c>
      <c r="C59" t="s">
        <v>14</v>
      </c>
      <c r="D59" s="35" t="s">
        <v>85</v>
      </c>
      <c r="E59" s="35">
        <v>421609</v>
      </c>
      <c r="F59" s="35" t="s">
        <v>181</v>
      </c>
      <c r="G59" s="35" t="s">
        <v>86</v>
      </c>
      <c r="H59" s="35" t="s">
        <v>20</v>
      </c>
      <c r="I59" s="36"/>
      <c r="J59" s="35">
        <v>30281524</v>
      </c>
      <c r="K59" s="35" t="s">
        <v>104</v>
      </c>
      <c r="L59" s="35" t="str">
        <f>_xlfn.XLOOKUP(Tabla2__2[[#This Row],[CODIGO RUTA]],'DATA INFORME'!I:I,'DATA INFORME'!K:K)</f>
        <v>SI</v>
      </c>
      <c r="M59" s="35" t="str">
        <f>IF(Tabla2__2[[#This Row],[MYSTERY EFECTIVO]]="SI",_xlfn.XLOOKUP(Tabla2__2[[#This Row],[PREGUNTA]],ENCUESTA!G:G,ENCUESTA!D:D),"N/A")</f>
        <v>HORARIO</v>
      </c>
      <c r="N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9" s="35" t="str">
        <f>_xlfn.XLOOKUP(Tabla2__2[[#This Row],[PREGUNTA]],ENCUESTA!G:G,ENCUESTA!H:H)</f>
        <v>SI</v>
      </c>
      <c r="P59" s="35">
        <f>IF(Tabla2__2[[#This Row],[RTA]]=Tabla2__2[[#This Row],[RTA CORRECTA]],Tabla2__2[[#This Row],[TOTAL PUNTAJE]],0)</f>
        <v>20</v>
      </c>
      <c r="Q59" s="35">
        <f>IF(OR(H59="Dog Chow húmedo",H59="Cat Chow húmedo",H59="Fancy Feast",H59="Felix",H59="Proplan húmedo",H59="One húmedo",H59="Snack Abrazzos",H59="Snak Dentalife",H59="Arenilla Tidy Cat"),N59,0)</f>
        <v>0</v>
      </c>
      <c r="R59" s="35"/>
    </row>
    <row r="60" spans="1:18" x14ac:dyDescent="0.35">
      <c r="A60" s="35" t="s">
        <v>95</v>
      </c>
      <c r="B60" s="35" t="s">
        <v>84</v>
      </c>
      <c r="C60" t="s">
        <v>14</v>
      </c>
      <c r="D60" s="35" t="s">
        <v>85</v>
      </c>
      <c r="E60" s="35">
        <v>421609</v>
      </c>
      <c r="F60" s="35" t="s">
        <v>181</v>
      </c>
      <c r="G60" s="35" t="s">
        <v>87</v>
      </c>
      <c r="H60" s="35" t="s">
        <v>20</v>
      </c>
      <c r="I60" s="36"/>
      <c r="J60" s="35">
        <v>30281524</v>
      </c>
      <c r="K60" s="35" t="s">
        <v>104</v>
      </c>
      <c r="L60" s="35" t="str">
        <f>_xlfn.XLOOKUP(Tabla2__2[[#This Row],[CODIGO RUTA]],'DATA INFORME'!I:I,'DATA INFORME'!K:K)</f>
        <v>SI</v>
      </c>
      <c r="M60" s="35" t="str">
        <f>IF(Tabla2__2[[#This Row],[MYSTERY EFECTIVO]]="SI",_xlfn.XLOOKUP(Tabla2__2[[#This Row],[PREGUNTA]],ENCUESTA!G:G,ENCUESTA!D:D),"N/A")</f>
        <v>UNIFORME</v>
      </c>
      <c r="N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0" s="35" t="str">
        <f>_xlfn.XLOOKUP(Tabla2__2[[#This Row],[PREGUNTA]],ENCUESTA!G:G,ENCUESTA!H:H)</f>
        <v>SI</v>
      </c>
      <c r="P60" s="35">
        <f>IF(Tabla2__2[[#This Row],[RTA]]=Tabla2__2[[#This Row],[RTA CORRECTA]],Tabla2__2[[#This Row],[TOTAL PUNTAJE]],0)</f>
        <v>1.5</v>
      </c>
      <c r="Q60" s="35">
        <f>IF(OR(H60="Dog Chow húmedo",H60="Cat Chow húmedo",H60="Fancy Feast",H60="Felix",H60="Proplan húmedo",H60="One húmedo",H60="Snack Abrazzos",H60="Snak Dentalife",H60="Arenilla Tidy Cat"),N60,0)</f>
        <v>0</v>
      </c>
      <c r="R60" s="35"/>
    </row>
    <row r="61" spans="1:18" x14ac:dyDescent="0.35">
      <c r="A61" s="35" t="s">
        <v>95</v>
      </c>
      <c r="B61" s="35" t="s">
        <v>84</v>
      </c>
      <c r="C61" t="s">
        <v>14</v>
      </c>
      <c r="D61" s="35" t="s">
        <v>85</v>
      </c>
      <c r="E61" s="35">
        <v>421609</v>
      </c>
      <c r="F61" s="35" t="s">
        <v>181</v>
      </c>
      <c r="G61" s="35" t="s">
        <v>110</v>
      </c>
      <c r="H61" s="35" t="s">
        <v>20</v>
      </c>
      <c r="I61" s="36"/>
      <c r="J61" s="35">
        <v>30281524</v>
      </c>
      <c r="K61" s="35" t="s">
        <v>104</v>
      </c>
      <c r="L61" s="35" t="str">
        <f>_xlfn.XLOOKUP(Tabla2__2[[#This Row],[CODIGO RUTA]],'DATA INFORME'!I:I,'DATA INFORME'!K:K)</f>
        <v>SI</v>
      </c>
      <c r="M61" s="35" t="str">
        <f>IF(Tabla2__2[[#This Row],[MYSTERY EFECTIVO]]="SI",_xlfn.XLOOKUP(Tabla2__2[[#This Row],[PREGUNTA]],ENCUESTA!G:G,ENCUESTA!D:D),"N/A")</f>
        <v>UNIFORME</v>
      </c>
      <c r="N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1" s="35" t="str">
        <f>_xlfn.XLOOKUP(Tabla2__2[[#This Row],[PREGUNTA]],ENCUESTA!G:G,ENCUESTA!H:H)</f>
        <v>SI</v>
      </c>
      <c r="P61" s="35">
        <f>IF(Tabla2__2[[#This Row],[RTA]]=Tabla2__2[[#This Row],[RTA CORRECTA]],Tabla2__2[[#This Row],[TOTAL PUNTAJE]],0)</f>
        <v>1.5</v>
      </c>
      <c r="Q61" s="35">
        <f>IF(OR(H61="Dog Chow húmedo",H61="Cat Chow húmedo",H61="Fancy Feast",H61="Felix",H61="Proplan húmedo",H61="One húmedo",H61="Snack Abrazzos",H61="Snak Dentalife",H61="Arenilla Tidy Cat"),N61,0)</f>
        <v>0</v>
      </c>
      <c r="R61" s="35"/>
    </row>
    <row r="62" spans="1:18" x14ac:dyDescent="0.35">
      <c r="A62" s="35" t="s">
        <v>95</v>
      </c>
      <c r="B62" s="35" t="s">
        <v>84</v>
      </c>
      <c r="C62" t="s">
        <v>14</v>
      </c>
      <c r="D62" s="35" t="s">
        <v>85</v>
      </c>
      <c r="E62" s="35">
        <v>421609</v>
      </c>
      <c r="F62" s="35" t="s">
        <v>181</v>
      </c>
      <c r="G62" s="35" t="s">
        <v>35</v>
      </c>
      <c r="H62" s="35" t="s">
        <v>20</v>
      </c>
      <c r="I62" s="36"/>
      <c r="J62" s="35">
        <v>30281524</v>
      </c>
      <c r="K62" s="35" t="s">
        <v>104</v>
      </c>
      <c r="L62" s="35" t="str">
        <f>_xlfn.XLOOKUP(Tabla2__2[[#This Row],[CODIGO RUTA]],'DATA INFORME'!I:I,'DATA INFORME'!K:K)</f>
        <v>SI</v>
      </c>
      <c r="M62" s="35" t="str">
        <f>IF(Tabla2__2[[#This Row],[MYSTERY EFECTIVO]]="SI",_xlfn.XLOOKUP(Tabla2__2[[#This Row],[PREGUNTA]],ENCUESTA!G:G,ENCUESTA!D:D),"N/A")</f>
        <v>UNIFORME</v>
      </c>
      <c r="N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2" s="35" t="str">
        <f>_xlfn.XLOOKUP(Tabla2__2[[#This Row],[PREGUNTA]],ENCUESTA!G:G,ENCUESTA!H:H)</f>
        <v>SI</v>
      </c>
      <c r="P62" s="35">
        <f>IF(Tabla2__2[[#This Row],[RTA]]=Tabla2__2[[#This Row],[RTA CORRECTA]],Tabla2__2[[#This Row],[TOTAL PUNTAJE]],0)</f>
        <v>1.5</v>
      </c>
      <c r="Q62" s="35">
        <f>IF(OR(H62="Dog Chow húmedo",H62="Cat Chow húmedo",H62="Fancy Feast",H62="Felix",H62="Proplan húmedo",H62="One húmedo",H62="Snack Abrazzos",H62="Snak Dentalife",H62="Arenilla Tidy Cat"),N62,0)</f>
        <v>0</v>
      </c>
      <c r="R62" s="35"/>
    </row>
    <row r="63" spans="1:18" x14ac:dyDescent="0.35">
      <c r="A63" s="35" t="s">
        <v>95</v>
      </c>
      <c r="B63" s="35" t="s">
        <v>84</v>
      </c>
      <c r="C63" t="s">
        <v>14</v>
      </c>
      <c r="D63" s="35" t="s">
        <v>85</v>
      </c>
      <c r="E63" s="35">
        <v>421609</v>
      </c>
      <c r="F63" s="35" t="s">
        <v>181</v>
      </c>
      <c r="G63" s="35" t="s">
        <v>111</v>
      </c>
      <c r="H63" s="35" t="s">
        <v>94</v>
      </c>
      <c r="I63" s="36"/>
      <c r="J63" s="35">
        <v>30281524</v>
      </c>
      <c r="K63" s="35" t="s">
        <v>104</v>
      </c>
      <c r="L63" s="35" t="str">
        <f>_xlfn.XLOOKUP(Tabla2__2[[#This Row],[CODIGO RUTA]],'DATA INFORME'!I:I,'DATA INFORME'!K:K)</f>
        <v>SI</v>
      </c>
      <c r="M63" s="35" t="str">
        <f>IF(Tabla2__2[[#This Row],[MYSTERY EFECTIVO]]="SI",_xlfn.XLOOKUP(Tabla2__2[[#This Row],[PREGUNTA]],ENCUESTA!G:G,ENCUESTA!D:D),"N/A")</f>
        <v>UNIFORME</v>
      </c>
      <c r="N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3" s="35" t="str">
        <f>_xlfn.XLOOKUP(Tabla2__2[[#This Row],[PREGUNTA]],ENCUESTA!G:G,ENCUESTA!H:H)</f>
        <v>NO</v>
      </c>
      <c r="P63" s="35">
        <f>IF(Tabla2__2[[#This Row],[RTA]]=Tabla2__2[[#This Row],[RTA CORRECTA]],Tabla2__2[[#This Row],[TOTAL PUNTAJE]],0)</f>
        <v>1.5</v>
      </c>
      <c r="Q63" s="35">
        <f>IF(OR(H63="Dog Chow húmedo",H63="Cat Chow húmedo",H63="Fancy Feast",H63="Felix",H63="Proplan húmedo",H63="One húmedo",H63="Snack Abrazzos",H63="Snak Dentalife",H63="Arenilla Tidy Cat"),N63,0)</f>
        <v>0</v>
      </c>
      <c r="R63" s="35"/>
    </row>
    <row r="64" spans="1:18" x14ac:dyDescent="0.35">
      <c r="A64" s="35" t="s">
        <v>95</v>
      </c>
      <c r="B64" s="35" t="s">
        <v>84</v>
      </c>
      <c r="C64" t="s">
        <v>14</v>
      </c>
      <c r="D64" s="35" t="s">
        <v>85</v>
      </c>
      <c r="E64" s="35">
        <v>421609</v>
      </c>
      <c r="F64" s="35" t="s">
        <v>181</v>
      </c>
      <c r="G64" s="35" t="s">
        <v>88</v>
      </c>
      <c r="H64" s="35" t="s">
        <v>20</v>
      </c>
      <c r="I64" s="36"/>
      <c r="J64" s="35">
        <v>30281524</v>
      </c>
      <c r="K64" s="35" t="s">
        <v>104</v>
      </c>
      <c r="L64" s="35" t="str">
        <f>_xlfn.XLOOKUP(Tabla2__2[[#This Row],[CODIGO RUTA]],'DATA INFORME'!I:I,'DATA INFORME'!K:K)</f>
        <v>SI</v>
      </c>
      <c r="M64" s="35" t="str">
        <f>IF(Tabla2__2[[#This Row],[MYSTERY EFECTIVO]]="SI",_xlfn.XLOOKUP(Tabla2__2[[#This Row],[PREGUNTA]],ENCUESTA!G:G,ENCUESTA!D:D),"N/A")</f>
        <v>UNIFORME</v>
      </c>
      <c r="N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4" s="35" t="str">
        <f>_xlfn.XLOOKUP(Tabla2__2[[#This Row],[PREGUNTA]],ENCUESTA!G:G,ENCUESTA!H:H)</f>
        <v>SI</v>
      </c>
      <c r="P64" s="35">
        <f>IF(Tabla2__2[[#This Row],[RTA]]=Tabla2__2[[#This Row],[RTA CORRECTA]],Tabla2__2[[#This Row],[TOTAL PUNTAJE]],0)</f>
        <v>1.5</v>
      </c>
      <c r="Q64" s="35">
        <f>IF(OR(H64="Dog Chow húmedo",H64="Cat Chow húmedo",H64="Fancy Feast",H64="Felix",H64="Proplan húmedo",H64="One húmedo",H64="Snack Abrazzos",H64="Snak Dentalife",H64="Arenilla Tidy Cat"),N64,0)</f>
        <v>0</v>
      </c>
      <c r="R64" s="35"/>
    </row>
    <row r="65" spans="1:18" x14ac:dyDescent="0.35">
      <c r="A65" s="35" t="s">
        <v>95</v>
      </c>
      <c r="B65" s="35" t="s">
        <v>84</v>
      </c>
      <c r="C65" t="s">
        <v>14</v>
      </c>
      <c r="D65" s="35" t="s">
        <v>85</v>
      </c>
      <c r="E65" s="35">
        <v>421609</v>
      </c>
      <c r="F65" s="35" t="s">
        <v>181</v>
      </c>
      <c r="G65" s="35" t="s">
        <v>89</v>
      </c>
      <c r="H65" s="35" t="s">
        <v>20</v>
      </c>
      <c r="I65" s="36"/>
      <c r="J65" s="35">
        <v>30281524</v>
      </c>
      <c r="K65" s="35" t="s">
        <v>104</v>
      </c>
      <c r="L65" s="35" t="str">
        <f>_xlfn.XLOOKUP(Tabla2__2[[#This Row],[CODIGO RUTA]],'DATA INFORME'!I:I,'DATA INFORME'!K:K)</f>
        <v>SI</v>
      </c>
      <c r="M65" s="35" t="str">
        <f>IF(Tabla2__2[[#This Row],[MYSTERY EFECTIVO]]="SI",_xlfn.XLOOKUP(Tabla2__2[[#This Row],[PREGUNTA]],ENCUESTA!G:G,ENCUESTA!D:D),"N/A")</f>
        <v>UNIFORME</v>
      </c>
      <c r="N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5" s="35" t="str">
        <f>_xlfn.XLOOKUP(Tabla2__2[[#This Row],[PREGUNTA]],ENCUESTA!G:G,ENCUESTA!H:H)</f>
        <v>SI</v>
      </c>
      <c r="P65" s="35">
        <f>IF(Tabla2__2[[#This Row],[RTA]]=Tabla2__2[[#This Row],[RTA CORRECTA]],Tabla2__2[[#This Row],[TOTAL PUNTAJE]],0)</f>
        <v>1.5</v>
      </c>
      <c r="Q65" s="35">
        <f>IF(OR(H65="Dog Chow húmedo",H65="Cat Chow húmedo",H65="Fancy Feast",H65="Felix",H65="Proplan húmedo",H65="One húmedo",H65="Snack Abrazzos",H65="Snak Dentalife",H65="Arenilla Tidy Cat"),N65,0)</f>
        <v>0</v>
      </c>
      <c r="R65" s="35"/>
    </row>
    <row r="66" spans="1:18" x14ac:dyDescent="0.35">
      <c r="A66" s="35" t="s">
        <v>95</v>
      </c>
      <c r="B66" s="35" t="s">
        <v>84</v>
      </c>
      <c r="C66" t="s">
        <v>14</v>
      </c>
      <c r="D66" s="35" t="s">
        <v>85</v>
      </c>
      <c r="E66" s="35">
        <v>421609</v>
      </c>
      <c r="F66" s="35" t="s">
        <v>181</v>
      </c>
      <c r="G66" s="35" t="s">
        <v>90</v>
      </c>
      <c r="H66" s="35" t="s">
        <v>94</v>
      </c>
      <c r="I66" s="36"/>
      <c r="J66" s="35">
        <v>30281524</v>
      </c>
      <c r="K66" s="35" t="s">
        <v>104</v>
      </c>
      <c r="L66" s="35" t="str">
        <f>_xlfn.XLOOKUP(Tabla2__2[[#This Row],[CODIGO RUTA]],'DATA INFORME'!I:I,'DATA INFORME'!K:K)</f>
        <v>SI</v>
      </c>
      <c r="M66" s="35" t="str">
        <f>IF(Tabla2__2[[#This Row],[MYSTERY EFECTIVO]]="SI",_xlfn.XLOOKUP(Tabla2__2[[#This Row],[PREGUNTA]],ENCUESTA!G:G,ENCUESTA!D:D),"N/A")</f>
        <v>UNIFORME</v>
      </c>
      <c r="N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6" s="35" t="str">
        <f>_xlfn.XLOOKUP(Tabla2__2[[#This Row],[PREGUNTA]],ENCUESTA!G:G,ENCUESTA!H:H)</f>
        <v>NO</v>
      </c>
      <c r="P66" s="35">
        <f>IF(Tabla2__2[[#This Row],[RTA]]=Tabla2__2[[#This Row],[RTA CORRECTA]],Tabla2__2[[#This Row],[TOTAL PUNTAJE]],0)</f>
        <v>1.5</v>
      </c>
      <c r="Q66" s="35">
        <f>IF(OR(H66="Dog Chow húmedo",H66="Cat Chow húmedo",H66="Fancy Feast",H66="Felix",H66="Proplan húmedo",H66="One húmedo",H66="Snack Abrazzos",H66="Snak Dentalife",H66="Arenilla Tidy Cat"),N66,0)</f>
        <v>0</v>
      </c>
      <c r="R66" s="35"/>
    </row>
    <row r="67" spans="1:18" x14ac:dyDescent="0.35">
      <c r="A67" s="35" t="s">
        <v>95</v>
      </c>
      <c r="B67" s="35" t="s">
        <v>84</v>
      </c>
      <c r="C67" t="s">
        <v>14</v>
      </c>
      <c r="D67" s="35" t="s">
        <v>85</v>
      </c>
      <c r="E67" s="35">
        <v>421609</v>
      </c>
      <c r="F67" s="35" t="s">
        <v>181</v>
      </c>
      <c r="G67" s="35" t="s">
        <v>91</v>
      </c>
      <c r="H67" s="35" t="s">
        <v>94</v>
      </c>
      <c r="I67" s="36"/>
      <c r="J67" s="35">
        <v>30281524</v>
      </c>
      <c r="K67" s="35" t="s">
        <v>104</v>
      </c>
      <c r="L67" s="35" t="str">
        <f>_xlfn.XLOOKUP(Tabla2__2[[#This Row],[CODIGO RUTA]],'DATA INFORME'!I:I,'DATA INFORME'!K:K)</f>
        <v>SI</v>
      </c>
      <c r="M67" s="35" t="str">
        <f>IF(Tabla2__2[[#This Row],[MYSTERY EFECTIVO]]="SI",_xlfn.XLOOKUP(Tabla2__2[[#This Row],[PREGUNTA]],ENCUESTA!G:G,ENCUESTA!D:D),"N/A")</f>
        <v>UNIFORME</v>
      </c>
      <c r="N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7" s="35" t="str">
        <f>_xlfn.XLOOKUP(Tabla2__2[[#This Row],[PREGUNTA]],ENCUESTA!G:G,ENCUESTA!H:H)</f>
        <v>NO</v>
      </c>
      <c r="P67" s="35">
        <f>IF(Tabla2__2[[#This Row],[RTA]]=Tabla2__2[[#This Row],[RTA CORRECTA]],Tabla2__2[[#This Row],[TOTAL PUNTAJE]],0)</f>
        <v>1.5</v>
      </c>
      <c r="Q67" s="35">
        <f>IF(OR(H67="Dog Chow húmedo",H67="Cat Chow húmedo",H67="Fancy Feast",H67="Felix",H67="Proplan húmedo",H67="One húmedo",H67="Snack Abrazzos",H67="Snak Dentalife",H67="Arenilla Tidy Cat"),N67,0)</f>
        <v>0</v>
      </c>
      <c r="R67" s="35"/>
    </row>
    <row r="68" spans="1:18" x14ac:dyDescent="0.35">
      <c r="A68" s="35" t="s">
        <v>95</v>
      </c>
      <c r="B68" s="35" t="s">
        <v>84</v>
      </c>
      <c r="C68" t="s">
        <v>14</v>
      </c>
      <c r="D68" s="35" t="s">
        <v>85</v>
      </c>
      <c r="E68" s="35">
        <v>421609</v>
      </c>
      <c r="F68" s="35" t="s">
        <v>181</v>
      </c>
      <c r="G68" s="35" t="s">
        <v>92</v>
      </c>
      <c r="H68" s="35" t="s">
        <v>94</v>
      </c>
      <c r="I68" s="36"/>
      <c r="J68" s="35">
        <v>30281524</v>
      </c>
      <c r="K68" s="35" t="s">
        <v>104</v>
      </c>
      <c r="L68" s="35" t="str">
        <f>_xlfn.XLOOKUP(Tabla2__2[[#This Row],[CODIGO RUTA]],'DATA INFORME'!I:I,'DATA INFORME'!K:K)</f>
        <v>SI</v>
      </c>
      <c r="M68" s="35" t="str">
        <f>IF(Tabla2__2[[#This Row],[MYSTERY EFECTIVO]]="SI",_xlfn.XLOOKUP(Tabla2__2[[#This Row],[PREGUNTA]],ENCUESTA!G:G,ENCUESTA!D:D),"N/A")</f>
        <v>UNIFORME</v>
      </c>
      <c r="N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8" s="35" t="str">
        <f>_xlfn.XLOOKUP(Tabla2__2[[#This Row],[PREGUNTA]],ENCUESTA!G:G,ENCUESTA!H:H)</f>
        <v>NO</v>
      </c>
      <c r="P68" s="35">
        <f>IF(Tabla2__2[[#This Row],[RTA]]=Tabla2__2[[#This Row],[RTA CORRECTA]],Tabla2__2[[#This Row],[TOTAL PUNTAJE]],0)</f>
        <v>1.5</v>
      </c>
      <c r="Q68" s="35">
        <f>IF(OR(H68="Dog Chow húmedo",H68="Cat Chow húmedo",H68="Fancy Feast",H68="Felix",H68="Proplan húmedo",H68="One húmedo",H68="Snack Abrazzos",H68="Snak Dentalife",H68="Arenilla Tidy Cat"),N68,0)</f>
        <v>0</v>
      </c>
      <c r="R68" s="35"/>
    </row>
    <row r="69" spans="1:18" x14ac:dyDescent="0.35">
      <c r="A69" s="35" t="s">
        <v>95</v>
      </c>
      <c r="B69" s="35" t="s">
        <v>84</v>
      </c>
      <c r="C69" t="s">
        <v>14</v>
      </c>
      <c r="D69" s="35" t="s">
        <v>85</v>
      </c>
      <c r="E69" s="35">
        <v>421609</v>
      </c>
      <c r="F69" s="35" t="s">
        <v>181</v>
      </c>
      <c r="G69" s="35" t="s">
        <v>93</v>
      </c>
      <c r="H69" s="35" t="s">
        <v>94</v>
      </c>
      <c r="I69" s="36"/>
      <c r="J69" s="35">
        <v>30281524</v>
      </c>
      <c r="K69" s="35" t="s">
        <v>104</v>
      </c>
      <c r="L69" s="35" t="str">
        <f>_xlfn.XLOOKUP(Tabla2__2[[#This Row],[CODIGO RUTA]],'DATA INFORME'!I:I,'DATA INFORME'!K:K)</f>
        <v>SI</v>
      </c>
      <c r="M69" s="35" t="str">
        <f>IF(Tabla2__2[[#This Row],[MYSTERY EFECTIVO]]="SI",_xlfn.XLOOKUP(Tabla2__2[[#This Row],[PREGUNTA]],ENCUESTA!G:G,ENCUESTA!D:D),"N/A")</f>
        <v>UNIFORME</v>
      </c>
      <c r="N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9" s="35" t="str">
        <f>_xlfn.XLOOKUP(Tabla2__2[[#This Row],[PREGUNTA]],ENCUESTA!G:G,ENCUESTA!H:H)</f>
        <v>NO</v>
      </c>
      <c r="P69" s="35">
        <f>IF(Tabla2__2[[#This Row],[RTA]]=Tabla2__2[[#This Row],[RTA CORRECTA]],Tabla2__2[[#This Row],[TOTAL PUNTAJE]],0)</f>
        <v>1.5</v>
      </c>
      <c r="Q69" s="35">
        <f>IF(OR(H69="Dog Chow húmedo",H69="Cat Chow húmedo",H69="Fancy Feast",H69="Felix",H69="Proplan húmedo",H69="One húmedo",H69="Snack Abrazzos",H69="Snak Dentalife",H69="Arenilla Tidy Cat"),N69,0)</f>
        <v>0</v>
      </c>
      <c r="R69" s="35"/>
    </row>
    <row r="70" spans="1:18" x14ac:dyDescent="0.35">
      <c r="A70" s="35" t="s">
        <v>95</v>
      </c>
      <c r="B70" s="35" t="s">
        <v>84</v>
      </c>
      <c r="C70" t="s">
        <v>14</v>
      </c>
      <c r="D70" s="35" t="s">
        <v>85</v>
      </c>
      <c r="E70" s="35">
        <v>421609</v>
      </c>
      <c r="F70" s="35" t="s">
        <v>181</v>
      </c>
      <c r="G70" s="35" t="s">
        <v>129</v>
      </c>
      <c r="H70" s="35" t="s">
        <v>20</v>
      </c>
      <c r="I70" s="36"/>
      <c r="J70" s="35">
        <v>30281524</v>
      </c>
      <c r="K70" s="35" t="s">
        <v>104</v>
      </c>
      <c r="L70" s="35" t="str">
        <f>_xlfn.XLOOKUP(Tabla2__2[[#This Row],[CODIGO RUTA]],'DATA INFORME'!I:I,'DATA INFORME'!K:K)</f>
        <v>SI</v>
      </c>
      <c r="M70" s="35" t="str">
        <f>IF(Tabla2__2[[#This Row],[MYSTERY EFECTIVO]]="SI",_xlfn.XLOOKUP(Tabla2__2[[#This Row],[PREGUNTA]],ENCUESTA!G:G,ENCUESTA!D:D),"N/A")</f>
        <v>ABORDAJE</v>
      </c>
      <c r="N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70" s="35" t="str">
        <f>_xlfn.XLOOKUP(Tabla2__2[[#This Row],[PREGUNTA]],ENCUESTA!G:G,ENCUESTA!H:H)</f>
        <v>SI</v>
      </c>
      <c r="P70" s="35">
        <f>IF(Tabla2__2[[#This Row],[RTA]]=Tabla2__2[[#This Row],[RTA CORRECTA]],Tabla2__2[[#This Row],[TOTAL PUNTAJE]],0)</f>
        <v>20</v>
      </c>
      <c r="Q70" s="35">
        <f>IF(OR(H70="Dog Chow húmedo",H70="Cat Chow húmedo",H70="Fancy Feast",H70="Felix",H70="Proplan húmedo",H70="One húmedo",H70="Snack Abrazzos",H70="Snak Dentalife",H70="Arenilla Tidy Cat"),N70,0)</f>
        <v>0</v>
      </c>
      <c r="R70" s="35"/>
    </row>
    <row r="71" spans="1:18" x14ac:dyDescent="0.35">
      <c r="A71" s="35" t="s">
        <v>95</v>
      </c>
      <c r="B71" s="35" t="s">
        <v>84</v>
      </c>
      <c r="C71" t="s">
        <v>14</v>
      </c>
      <c r="D71" s="35" t="s">
        <v>85</v>
      </c>
      <c r="E71" s="35">
        <v>421609</v>
      </c>
      <c r="F71" s="35" t="s">
        <v>181</v>
      </c>
      <c r="G71" s="35" t="s">
        <v>121</v>
      </c>
      <c r="H71" s="35" t="s">
        <v>20</v>
      </c>
      <c r="I71" s="36"/>
      <c r="J71" s="35">
        <v>30281524</v>
      </c>
      <c r="K71" s="35" t="s">
        <v>104</v>
      </c>
      <c r="L71" s="35" t="str">
        <f>_xlfn.XLOOKUP(Tabla2__2[[#This Row],[CODIGO RUTA]],'DATA INFORME'!I:I,'DATA INFORME'!K:K)</f>
        <v>SI</v>
      </c>
      <c r="M71" s="35" t="str">
        <f>IF(Tabla2__2[[#This Row],[MYSTERY EFECTIVO]]="SI",_xlfn.XLOOKUP(Tabla2__2[[#This Row],[PREGUNTA]],ENCUESTA!G:G,ENCUESTA!D:D),"N/A")</f>
        <v>PORTAFOLIO Y MANEJO DE OBJECIONES</v>
      </c>
      <c r="N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71" s="35" t="str">
        <f>_xlfn.XLOOKUP(Tabla2__2[[#This Row],[PREGUNTA]],ENCUESTA!G:G,ENCUESTA!H:H)</f>
        <v>SI</v>
      </c>
      <c r="P71" s="35">
        <f>IF(Tabla2__2[[#This Row],[RTA]]=Tabla2__2[[#This Row],[RTA CORRECTA]],Tabla2__2[[#This Row],[TOTAL PUNTAJE]],0)</f>
        <v>6</v>
      </c>
      <c r="Q71" s="35">
        <f>IF(OR(H71="Dog Chow húmedo",H71="Cat Chow húmedo",H71="Fancy Feast",H71="Felix",H71="Proplan húmedo",H71="One húmedo",H71="Snack Abrazzos",H71="Snak Dentalife",H71="Arenilla Tidy Cat"),N71,0)</f>
        <v>0</v>
      </c>
      <c r="R71" s="35"/>
    </row>
    <row r="72" spans="1:18" x14ac:dyDescent="0.35">
      <c r="A72" s="35" t="s">
        <v>95</v>
      </c>
      <c r="B72" s="35" t="s">
        <v>100</v>
      </c>
      <c r="C72" t="s">
        <v>14</v>
      </c>
      <c r="D72" s="35" t="s">
        <v>101</v>
      </c>
      <c r="E72" s="35">
        <v>424808</v>
      </c>
      <c r="F72" s="35" t="s">
        <v>168</v>
      </c>
      <c r="G72" s="35" t="s">
        <v>141</v>
      </c>
      <c r="H72" s="35" t="s">
        <v>20</v>
      </c>
      <c r="I72" s="36"/>
      <c r="J72" s="35">
        <v>30231329</v>
      </c>
      <c r="K72" s="35" t="s">
        <v>164</v>
      </c>
      <c r="L72" s="35" t="str">
        <f>_xlfn.XLOOKUP(Tabla2__2[[#This Row],[CODIGO RUTA]],'DATA INFORME'!I:I,'DATA INFORME'!K:K)</f>
        <v>SI</v>
      </c>
      <c r="M72" s="35" t="str">
        <f>IF(Tabla2__2[[#This Row],[MYSTERY EFECTIVO]]="SI",_xlfn.XLOOKUP(Tabla2__2[[#This Row],[PREGUNTA]],ENCUESTA!G:G,ENCUESTA!D:D),"N/A")</f>
        <v>PORTAFOLIO Y MANEJO DE OBJECIONES</v>
      </c>
      <c r="N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2" s="35" t="str">
        <f>_xlfn.XLOOKUP(Tabla2__2[[#This Row],[PREGUNTA]],ENCUESTA!G:G,ENCUESTA!H:H)</f>
        <v>SI</v>
      </c>
      <c r="P72" s="35">
        <f>IF(Tabla2__2[[#This Row],[RTA]]=Tabla2__2[[#This Row],[RTA CORRECTA]],Tabla2__2[[#This Row],[TOTAL PUNTAJE]],0)</f>
        <v>3</v>
      </c>
      <c r="Q72" s="35">
        <f>IF(OR(H72="Dog Chow húmedo",H72="Cat Chow húmedo",H72="Fancy Feast",H72="Felix",H72="Proplan húmedo",H72="One húmedo",H72="Snack Abrazzos",H72="Snak Dentalife",H72="Arenilla Tidy Cat"),N72,0)</f>
        <v>0</v>
      </c>
      <c r="R72" s="35"/>
    </row>
    <row r="73" spans="1:18" x14ac:dyDescent="0.35">
      <c r="A73" s="35" t="s">
        <v>95</v>
      </c>
      <c r="B73" s="35" t="s">
        <v>100</v>
      </c>
      <c r="C73" t="s">
        <v>14</v>
      </c>
      <c r="D73" s="35" t="s">
        <v>101</v>
      </c>
      <c r="E73" s="35">
        <v>424808</v>
      </c>
      <c r="F73" s="35" t="s">
        <v>168</v>
      </c>
      <c r="G73" s="35" t="s">
        <v>140</v>
      </c>
      <c r="H73" s="35" t="s">
        <v>20</v>
      </c>
      <c r="I73" s="36"/>
      <c r="J73" s="35">
        <v>30231329</v>
      </c>
      <c r="K73" s="35" t="s">
        <v>164</v>
      </c>
      <c r="L73" s="35" t="str">
        <f>_xlfn.XLOOKUP(Tabla2__2[[#This Row],[CODIGO RUTA]],'DATA INFORME'!I:I,'DATA INFORME'!K:K)</f>
        <v>SI</v>
      </c>
      <c r="M73" s="35" t="str">
        <f>IF(Tabla2__2[[#This Row],[MYSTERY EFECTIVO]]="SI",_xlfn.XLOOKUP(Tabla2__2[[#This Row],[PREGUNTA]],ENCUESTA!G:G,ENCUESTA!D:D),"N/A")</f>
        <v>PORTAFOLIO Y MANEJO DE OBJECIONES</v>
      </c>
      <c r="N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3" s="35" t="str">
        <f>_xlfn.XLOOKUP(Tabla2__2[[#This Row],[PREGUNTA]],ENCUESTA!G:G,ENCUESTA!H:H)</f>
        <v>SI</v>
      </c>
      <c r="P73" s="35">
        <f>IF(Tabla2__2[[#This Row],[RTA]]=Tabla2__2[[#This Row],[RTA CORRECTA]],Tabla2__2[[#This Row],[TOTAL PUNTAJE]],0)</f>
        <v>3</v>
      </c>
      <c r="Q73" s="35">
        <f>IF(OR(H73="Dog Chow húmedo",H73="Cat Chow húmedo",H73="Fancy Feast",H73="Felix",H73="Proplan húmedo",H73="One húmedo",H73="Snack Abrazzos",H73="Snak Dentalife",H73="Arenilla Tidy Cat"),N73,0)</f>
        <v>0</v>
      </c>
      <c r="R73" s="35"/>
    </row>
    <row r="74" spans="1:18" x14ac:dyDescent="0.35">
      <c r="A74" s="35" t="s">
        <v>95</v>
      </c>
      <c r="B74" s="35" t="s">
        <v>100</v>
      </c>
      <c r="C74" t="s">
        <v>14</v>
      </c>
      <c r="D74" s="35" t="s">
        <v>101</v>
      </c>
      <c r="E74" s="35">
        <v>424808</v>
      </c>
      <c r="F74" s="35" t="s">
        <v>168</v>
      </c>
      <c r="G74" s="35" t="s">
        <v>139</v>
      </c>
      <c r="H74" s="35" t="s">
        <v>20</v>
      </c>
      <c r="I74" s="36"/>
      <c r="J74" s="35">
        <v>30231329</v>
      </c>
      <c r="K74" s="35" t="s">
        <v>164</v>
      </c>
      <c r="L74" s="35" t="str">
        <f>_xlfn.XLOOKUP(Tabla2__2[[#This Row],[CODIGO RUTA]],'DATA INFORME'!I:I,'DATA INFORME'!K:K)</f>
        <v>SI</v>
      </c>
      <c r="M74" s="35" t="str">
        <f>IF(Tabla2__2[[#This Row],[MYSTERY EFECTIVO]]="SI",_xlfn.XLOOKUP(Tabla2__2[[#This Row],[PREGUNTA]],ENCUESTA!G:G,ENCUESTA!D:D),"N/A")</f>
        <v>PORTAFOLIO Y MANEJO DE OBJECIONES</v>
      </c>
      <c r="N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4" s="35" t="str">
        <f>_xlfn.XLOOKUP(Tabla2__2[[#This Row],[PREGUNTA]],ENCUESTA!G:G,ENCUESTA!H:H)</f>
        <v>SI</v>
      </c>
      <c r="P74" s="35">
        <f>IF(Tabla2__2[[#This Row],[RTA]]=Tabla2__2[[#This Row],[RTA CORRECTA]],Tabla2__2[[#This Row],[TOTAL PUNTAJE]],0)</f>
        <v>3</v>
      </c>
      <c r="Q74" s="35">
        <f>IF(OR(H74="Dog Chow húmedo",H74="Cat Chow húmedo",H74="Fancy Feast",H74="Felix",H74="Proplan húmedo",H74="One húmedo",H74="Snack Abrazzos",H74="Snak Dentalife",H74="Arenilla Tidy Cat"),N74,0)</f>
        <v>0</v>
      </c>
      <c r="R74" s="35"/>
    </row>
    <row r="75" spans="1:18" x14ac:dyDescent="0.35">
      <c r="A75" s="35" t="s">
        <v>95</v>
      </c>
      <c r="B75" s="35" t="s">
        <v>100</v>
      </c>
      <c r="C75" t="s">
        <v>14</v>
      </c>
      <c r="D75" s="35" t="s">
        <v>101</v>
      </c>
      <c r="E75" s="35">
        <v>424808</v>
      </c>
      <c r="F75" s="35" t="s">
        <v>168</v>
      </c>
      <c r="G75" s="35" t="s">
        <v>138</v>
      </c>
      <c r="H75" s="35" t="s">
        <v>20</v>
      </c>
      <c r="I75" s="36"/>
      <c r="J75" s="35">
        <v>30231329</v>
      </c>
      <c r="K75" s="35" t="s">
        <v>164</v>
      </c>
      <c r="L75" s="35" t="str">
        <f>_xlfn.XLOOKUP(Tabla2__2[[#This Row],[CODIGO RUTA]],'DATA INFORME'!I:I,'DATA INFORME'!K:K)</f>
        <v>SI</v>
      </c>
      <c r="M75" s="35" t="str">
        <f>IF(Tabla2__2[[#This Row],[MYSTERY EFECTIVO]]="SI",_xlfn.XLOOKUP(Tabla2__2[[#This Row],[PREGUNTA]],ENCUESTA!G:G,ENCUESTA!D:D),"N/A")</f>
        <v>PORTAFOLIO Y MANEJO DE OBJECIONES</v>
      </c>
      <c r="N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5" s="35" t="str">
        <f>_xlfn.XLOOKUP(Tabla2__2[[#This Row],[PREGUNTA]],ENCUESTA!G:G,ENCUESTA!H:H)</f>
        <v>SI</v>
      </c>
      <c r="P75" s="35">
        <f>IF(Tabla2__2[[#This Row],[RTA]]=Tabla2__2[[#This Row],[RTA CORRECTA]],Tabla2__2[[#This Row],[TOTAL PUNTAJE]],0)</f>
        <v>3</v>
      </c>
      <c r="Q75" s="35">
        <f>IF(OR(H75="Dog Chow húmedo",H75="Cat Chow húmedo",H75="Fancy Feast",H75="Felix",H75="Proplan húmedo",H75="One húmedo",H75="Snack Abrazzos",H75="Snak Dentalife",H75="Arenilla Tidy Cat"),N75,0)</f>
        <v>0</v>
      </c>
      <c r="R75" s="35"/>
    </row>
    <row r="76" spans="1:18" x14ac:dyDescent="0.35">
      <c r="A76" s="35" t="s">
        <v>95</v>
      </c>
      <c r="B76" s="35" t="s">
        <v>8</v>
      </c>
      <c r="C76" t="s">
        <v>14</v>
      </c>
      <c r="D76" s="35" t="s">
        <v>142</v>
      </c>
      <c r="E76" s="35">
        <v>424858</v>
      </c>
      <c r="F76" s="35" t="s">
        <v>151</v>
      </c>
      <c r="G76" s="35" t="s">
        <v>140</v>
      </c>
      <c r="H76" s="35" t="s">
        <v>20</v>
      </c>
      <c r="I76" s="36"/>
      <c r="J76" s="35">
        <v>30182843</v>
      </c>
      <c r="K76" s="35" t="s">
        <v>98</v>
      </c>
      <c r="L76" s="35" t="str">
        <f>_xlfn.XLOOKUP(Tabla2__2[[#This Row],[CODIGO RUTA]],'DATA INFORME'!I:I,'DATA INFORME'!K:K)</f>
        <v>SI</v>
      </c>
      <c r="M76" s="35" t="str">
        <f>IF(Tabla2__2[[#This Row],[MYSTERY EFECTIVO]]="SI",_xlfn.XLOOKUP(Tabla2__2[[#This Row],[PREGUNTA]],ENCUESTA!G:G,ENCUESTA!D:D),"N/A")</f>
        <v>PORTAFOLIO Y MANEJO DE OBJECIONES</v>
      </c>
      <c r="N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6" s="35" t="str">
        <f>_xlfn.XLOOKUP(Tabla2__2[[#This Row],[PREGUNTA]],ENCUESTA!G:G,ENCUESTA!H:H)</f>
        <v>SI</v>
      </c>
      <c r="P76" s="35">
        <f>IF(Tabla2__2[[#This Row],[RTA]]=Tabla2__2[[#This Row],[RTA CORRECTA]],Tabla2__2[[#This Row],[TOTAL PUNTAJE]],0)</f>
        <v>3</v>
      </c>
      <c r="Q76" s="35">
        <f>IF(OR(H76="Dog Chow húmedo",H76="Cat Chow húmedo",H76="Fancy Feast",H76="Felix",H76="Proplan húmedo",H76="One húmedo",H76="Snack Abrazzos",H76="Snak Dentalife",H76="Arenilla Tidy Cat"),N76,0)</f>
        <v>0</v>
      </c>
      <c r="R76" s="35"/>
    </row>
    <row r="77" spans="1:18" x14ac:dyDescent="0.35">
      <c r="A77" s="35" t="s">
        <v>95</v>
      </c>
      <c r="B77" s="35" t="s">
        <v>8</v>
      </c>
      <c r="C77" t="s">
        <v>14</v>
      </c>
      <c r="D77" s="35" t="s">
        <v>142</v>
      </c>
      <c r="E77" s="35">
        <v>424858</v>
      </c>
      <c r="F77" s="35" t="s">
        <v>151</v>
      </c>
      <c r="G77" s="35" t="s">
        <v>141</v>
      </c>
      <c r="H77" s="35" t="s">
        <v>94</v>
      </c>
      <c r="I77" s="36"/>
      <c r="J77" s="35">
        <v>30182843</v>
      </c>
      <c r="K77" s="35" t="s">
        <v>98</v>
      </c>
      <c r="L77" s="35" t="str">
        <f>_xlfn.XLOOKUP(Tabla2__2[[#This Row],[CODIGO RUTA]],'DATA INFORME'!I:I,'DATA INFORME'!K:K)</f>
        <v>SI</v>
      </c>
      <c r="M77" s="35" t="str">
        <f>IF(Tabla2__2[[#This Row],[MYSTERY EFECTIVO]]="SI",_xlfn.XLOOKUP(Tabla2__2[[#This Row],[PREGUNTA]],ENCUESTA!G:G,ENCUESTA!D:D),"N/A")</f>
        <v>PORTAFOLIO Y MANEJO DE OBJECIONES</v>
      </c>
      <c r="N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77" s="35" t="str">
        <f>_xlfn.XLOOKUP(Tabla2__2[[#This Row],[PREGUNTA]],ENCUESTA!G:G,ENCUESTA!H:H)</f>
        <v>SI</v>
      </c>
      <c r="P77" s="35">
        <f>IF(Tabla2__2[[#This Row],[RTA]]=Tabla2__2[[#This Row],[RTA CORRECTA]],Tabla2__2[[#This Row],[TOTAL PUNTAJE]],0)</f>
        <v>0</v>
      </c>
      <c r="Q77" s="35">
        <f>IF(OR(H77="Dog Chow húmedo",H77="Cat Chow húmedo",H77="Fancy Feast",H77="Felix",H77="Proplan húmedo",H77="One húmedo",H77="Snack Abrazzos",H77="Snak Dentalife",H77="Arenilla Tidy Cat"),N77,0)</f>
        <v>0</v>
      </c>
      <c r="R77" s="35"/>
    </row>
    <row r="78" spans="1:18" x14ac:dyDescent="0.35">
      <c r="A78" s="35" t="s">
        <v>95</v>
      </c>
      <c r="B78" s="35" t="s">
        <v>8</v>
      </c>
      <c r="C78" t="s">
        <v>14</v>
      </c>
      <c r="D78" s="35" t="s">
        <v>142</v>
      </c>
      <c r="E78" s="35">
        <v>424858</v>
      </c>
      <c r="F78" s="35" t="s">
        <v>151</v>
      </c>
      <c r="G78" s="35" t="s">
        <v>113</v>
      </c>
      <c r="H78" s="35" t="s">
        <v>119</v>
      </c>
      <c r="I78" s="36"/>
      <c r="J78" s="35">
        <v>30182843</v>
      </c>
      <c r="K78" s="35" t="s">
        <v>98</v>
      </c>
      <c r="L78" s="35" t="str">
        <f>_xlfn.XLOOKUP(Tabla2__2[[#This Row],[CODIGO RUTA]],'DATA INFORME'!I:I,'DATA INFORME'!K:K)</f>
        <v>SI</v>
      </c>
      <c r="M78" s="35" t="str">
        <f>IF(Tabla2__2[[#This Row],[MYSTERY EFECTIVO]]="SI",_xlfn.XLOOKUP(Tabla2__2[[#This Row],[PREGUNTA]],ENCUESTA!G:G,ENCUESTA!D:D),"N/A")</f>
        <v>N/A</v>
      </c>
      <c r="N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8" s="35">
        <f>_xlfn.XLOOKUP(Tabla2__2[[#This Row],[PREGUNTA]],ENCUESTA!G:G,ENCUESTA!H:H)</f>
        <v>0</v>
      </c>
      <c r="P78" s="35">
        <f>IF(Tabla2__2[[#This Row],[RTA]]=Tabla2__2[[#This Row],[RTA CORRECTA]],Tabla2__2[[#This Row],[TOTAL PUNTAJE]],0)</f>
        <v>0</v>
      </c>
      <c r="Q78" s="35">
        <f>IF(OR(H78="Dog Chow húmedo",H78="Cat Chow húmedo",H78="Fancy Feast",H78="Felix",H78="Proplan húmedo",H78="One húmedo",H78="Snack Abrazzos",H78="Snak Dentalife",H78="Arenilla Tidy Cat"),N78,0)</f>
        <v>0</v>
      </c>
      <c r="R78" s="35"/>
    </row>
    <row r="79" spans="1:18" x14ac:dyDescent="0.35">
      <c r="A79" s="35" t="s">
        <v>95</v>
      </c>
      <c r="B79" s="35" t="s">
        <v>8</v>
      </c>
      <c r="C79" t="s">
        <v>14</v>
      </c>
      <c r="D79" s="35" t="s">
        <v>142</v>
      </c>
      <c r="E79" s="35">
        <v>424858</v>
      </c>
      <c r="F79" s="35" t="s">
        <v>151</v>
      </c>
      <c r="G79" s="35" t="s">
        <v>114</v>
      </c>
      <c r="H79" s="35" t="s">
        <v>20</v>
      </c>
      <c r="I79" s="36"/>
      <c r="J79" s="35">
        <v>30182843</v>
      </c>
      <c r="K79" s="35" t="s">
        <v>98</v>
      </c>
      <c r="L79" s="35" t="str">
        <f>_xlfn.XLOOKUP(Tabla2__2[[#This Row],[CODIGO RUTA]],'DATA INFORME'!I:I,'DATA INFORME'!K:K)</f>
        <v>SI</v>
      </c>
      <c r="M79" s="35" t="str">
        <f>IF(Tabla2__2[[#This Row],[MYSTERY EFECTIVO]]="SI",_xlfn.XLOOKUP(Tabla2__2[[#This Row],[PREGUNTA]],ENCUESTA!G:G,ENCUESTA!D:D),"N/A")</f>
        <v>LABOR DE VENTA</v>
      </c>
      <c r="N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9" s="35" t="str">
        <f>_xlfn.XLOOKUP(Tabla2__2[[#This Row],[PREGUNTA]],ENCUESTA!G:G,ENCUESTA!H:H)</f>
        <v>SI</v>
      </c>
      <c r="P79" s="35">
        <f>IF(Tabla2__2[[#This Row],[RTA]]=Tabla2__2[[#This Row],[RTA CORRECTA]],Tabla2__2[[#This Row],[TOTAL PUNTAJE]],0)</f>
        <v>3.75</v>
      </c>
      <c r="Q79" s="35">
        <f>IF(OR(H79="Dog Chow húmedo",H79="Cat Chow húmedo",H79="Fancy Feast",H79="Felix",H79="Proplan húmedo",H79="One húmedo",H79="Snack Abrazzos",H79="Snak Dentalife",H79="Arenilla Tidy Cat"),N79,0)</f>
        <v>0</v>
      </c>
      <c r="R79" s="35"/>
    </row>
    <row r="80" spans="1:18" x14ac:dyDescent="0.35">
      <c r="A80" s="35" t="s">
        <v>95</v>
      </c>
      <c r="B80" s="35" t="s">
        <v>8</v>
      </c>
      <c r="C80" t="s">
        <v>14</v>
      </c>
      <c r="D80" s="35" t="s">
        <v>142</v>
      </c>
      <c r="E80" s="35">
        <v>424858</v>
      </c>
      <c r="F80" s="35" t="s">
        <v>151</v>
      </c>
      <c r="G80" s="35" t="s">
        <v>128</v>
      </c>
      <c r="H80" s="35" t="s">
        <v>20</v>
      </c>
      <c r="I80" s="36"/>
      <c r="J80" s="35">
        <v>30182843</v>
      </c>
      <c r="K80" s="35" t="s">
        <v>98</v>
      </c>
      <c r="L80" s="35" t="str">
        <f>_xlfn.XLOOKUP(Tabla2__2[[#This Row],[CODIGO RUTA]],'DATA INFORME'!I:I,'DATA INFORME'!K:K)</f>
        <v>SI</v>
      </c>
      <c r="M80" s="35" t="str">
        <f>IF(Tabla2__2[[#This Row],[MYSTERY EFECTIVO]]="SI",_xlfn.XLOOKUP(Tabla2__2[[#This Row],[PREGUNTA]],ENCUESTA!G:G,ENCUESTA!D:D),"N/A")</f>
        <v>LABOR DE VENTA</v>
      </c>
      <c r="N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0" s="35" t="str">
        <f>_xlfn.XLOOKUP(Tabla2__2[[#This Row],[PREGUNTA]],ENCUESTA!G:G,ENCUESTA!H:H)</f>
        <v>SI</v>
      </c>
      <c r="P80" s="35">
        <f>IF(Tabla2__2[[#This Row],[RTA]]=Tabla2__2[[#This Row],[RTA CORRECTA]],Tabla2__2[[#This Row],[TOTAL PUNTAJE]],0)</f>
        <v>3.75</v>
      </c>
      <c r="Q80" s="35">
        <f>IF(OR(H80="Dog Chow húmedo",H80="Cat Chow húmedo",H80="Fancy Feast",H80="Felix",H80="Proplan húmedo",H80="One húmedo",H80="Snack Abrazzos",H80="Snak Dentalife",H80="Arenilla Tidy Cat"),N80,0)</f>
        <v>0</v>
      </c>
      <c r="R80" s="35"/>
    </row>
    <row r="81" spans="1:18" x14ac:dyDescent="0.35">
      <c r="A81" s="35" t="s">
        <v>95</v>
      </c>
      <c r="B81" s="35" t="s">
        <v>8</v>
      </c>
      <c r="C81" t="s">
        <v>14</v>
      </c>
      <c r="D81" s="35" t="s">
        <v>142</v>
      </c>
      <c r="E81" s="35">
        <v>424858</v>
      </c>
      <c r="F81" s="35" t="s">
        <v>151</v>
      </c>
      <c r="G81" s="35" t="s">
        <v>115</v>
      </c>
      <c r="H81" s="35" t="s">
        <v>20</v>
      </c>
      <c r="I81" s="36"/>
      <c r="J81" s="35">
        <v>30182843</v>
      </c>
      <c r="K81" s="35" t="s">
        <v>98</v>
      </c>
      <c r="L81" s="35" t="str">
        <f>_xlfn.XLOOKUP(Tabla2__2[[#This Row],[CODIGO RUTA]],'DATA INFORME'!I:I,'DATA INFORME'!K:K)</f>
        <v>SI</v>
      </c>
      <c r="M81" s="35" t="str">
        <f>IF(Tabla2__2[[#This Row],[MYSTERY EFECTIVO]]="SI",_xlfn.XLOOKUP(Tabla2__2[[#This Row],[PREGUNTA]],ENCUESTA!G:G,ENCUESTA!D:D),"N/A")</f>
        <v>LABOR DE VENTA</v>
      </c>
      <c r="N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1" s="35" t="str">
        <f>_xlfn.XLOOKUP(Tabla2__2[[#This Row],[PREGUNTA]],ENCUESTA!G:G,ENCUESTA!H:H)</f>
        <v>SI</v>
      </c>
      <c r="P81" s="35">
        <f>IF(Tabla2__2[[#This Row],[RTA]]=Tabla2__2[[#This Row],[RTA CORRECTA]],Tabla2__2[[#This Row],[TOTAL PUNTAJE]],0)</f>
        <v>3.75</v>
      </c>
      <c r="Q81" s="35">
        <f>IF(OR(H81="Dog Chow húmedo",H81="Cat Chow húmedo",H81="Fancy Feast",H81="Felix",H81="Proplan húmedo",H81="One húmedo",H81="Snack Abrazzos",H81="Snak Dentalife",H81="Arenilla Tidy Cat"),N81,0)</f>
        <v>0</v>
      </c>
      <c r="R81" s="35"/>
    </row>
    <row r="82" spans="1:18" x14ac:dyDescent="0.35">
      <c r="A82" s="35" t="s">
        <v>95</v>
      </c>
      <c r="B82" s="35" t="s">
        <v>8</v>
      </c>
      <c r="C82" t="s">
        <v>14</v>
      </c>
      <c r="D82" s="35" t="s">
        <v>142</v>
      </c>
      <c r="E82" s="35">
        <v>424858</v>
      </c>
      <c r="F82" s="35" t="s">
        <v>151</v>
      </c>
      <c r="G82" s="35" t="s">
        <v>139</v>
      </c>
      <c r="H82" s="35" t="s">
        <v>20</v>
      </c>
      <c r="I82" s="36"/>
      <c r="J82" s="35">
        <v>30182843</v>
      </c>
      <c r="K82" s="35" t="s">
        <v>98</v>
      </c>
      <c r="L82" s="35" t="str">
        <f>_xlfn.XLOOKUP(Tabla2__2[[#This Row],[CODIGO RUTA]],'DATA INFORME'!I:I,'DATA INFORME'!K:K)</f>
        <v>SI</v>
      </c>
      <c r="M82" s="35" t="str">
        <f>IF(Tabla2__2[[#This Row],[MYSTERY EFECTIVO]]="SI",_xlfn.XLOOKUP(Tabla2__2[[#This Row],[PREGUNTA]],ENCUESTA!G:G,ENCUESTA!D:D),"N/A")</f>
        <v>PORTAFOLIO Y MANEJO DE OBJECIONES</v>
      </c>
      <c r="N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82" s="35" t="str">
        <f>_xlfn.XLOOKUP(Tabla2__2[[#This Row],[PREGUNTA]],ENCUESTA!G:G,ENCUESTA!H:H)</f>
        <v>SI</v>
      </c>
      <c r="P82" s="35">
        <f>IF(Tabla2__2[[#This Row],[RTA]]=Tabla2__2[[#This Row],[RTA CORRECTA]],Tabla2__2[[#This Row],[TOTAL PUNTAJE]],0)</f>
        <v>3</v>
      </c>
      <c r="Q82" s="35">
        <f>IF(OR(H82="Dog Chow húmedo",H82="Cat Chow húmedo",H82="Fancy Feast",H82="Felix",H82="Proplan húmedo",H82="One húmedo",H82="Snack Abrazzos",H82="Snak Dentalife",H82="Arenilla Tidy Cat"),N82,0)</f>
        <v>0</v>
      </c>
      <c r="R82" s="35"/>
    </row>
    <row r="83" spans="1:18" x14ac:dyDescent="0.35">
      <c r="A83" s="35" t="s">
        <v>95</v>
      </c>
      <c r="B83" s="35" t="s">
        <v>8</v>
      </c>
      <c r="C83" t="s">
        <v>14</v>
      </c>
      <c r="D83" s="35" t="s">
        <v>142</v>
      </c>
      <c r="E83" s="35">
        <v>424858</v>
      </c>
      <c r="F83" s="35" t="s">
        <v>151</v>
      </c>
      <c r="G83" s="35" t="s">
        <v>116</v>
      </c>
      <c r="H83" s="35" t="s">
        <v>20</v>
      </c>
      <c r="I83" s="36"/>
      <c r="J83" s="35">
        <v>30182843</v>
      </c>
      <c r="K83" s="35" t="s">
        <v>98</v>
      </c>
      <c r="L83" s="35" t="str">
        <f>_xlfn.XLOOKUP(Tabla2__2[[#This Row],[CODIGO RUTA]],'DATA INFORME'!I:I,'DATA INFORME'!K:K)</f>
        <v>SI</v>
      </c>
      <c r="M83" s="35" t="str">
        <f>IF(Tabla2__2[[#This Row],[MYSTERY EFECTIVO]]="SI",_xlfn.XLOOKUP(Tabla2__2[[#This Row],[PREGUNTA]],ENCUESTA!G:G,ENCUESTA!D:D),"N/A")</f>
        <v>LABOR DE VENTA</v>
      </c>
      <c r="N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83" s="35" t="str">
        <f>_xlfn.XLOOKUP(Tabla2__2[[#This Row],[PREGUNTA]],ENCUESTA!G:G,ENCUESTA!H:H)</f>
        <v>SI</v>
      </c>
      <c r="P83" s="35">
        <f>IF(Tabla2__2[[#This Row],[RTA]]=Tabla2__2[[#This Row],[RTA CORRECTA]],Tabla2__2[[#This Row],[TOTAL PUNTAJE]],0)</f>
        <v>3.75</v>
      </c>
      <c r="Q83" s="35">
        <f>IF(OR(H83="Dog Chow húmedo",H83="Cat Chow húmedo",H83="Fancy Feast",H83="Felix",H83="Proplan húmedo",H83="One húmedo",H83="Snack Abrazzos",H83="Snak Dentalife",H83="Arenilla Tidy Cat"),N83,0)</f>
        <v>0</v>
      </c>
      <c r="R83" s="35"/>
    </row>
    <row r="84" spans="1:18" x14ac:dyDescent="0.35">
      <c r="A84" s="35" t="s">
        <v>95</v>
      </c>
      <c r="B84" s="35" t="s">
        <v>100</v>
      </c>
      <c r="C84" t="s">
        <v>41</v>
      </c>
      <c r="D84" s="35" t="s">
        <v>101</v>
      </c>
      <c r="E84" s="35">
        <v>66552</v>
      </c>
      <c r="F84" s="35" t="s">
        <v>158</v>
      </c>
      <c r="G84" s="35" t="s">
        <v>109</v>
      </c>
      <c r="H84" s="35" t="s">
        <v>20</v>
      </c>
      <c r="I84" s="36"/>
      <c r="J84" s="35">
        <v>30189338</v>
      </c>
      <c r="K84" s="35" t="s">
        <v>164</v>
      </c>
      <c r="L84" s="35" t="str">
        <f>_xlfn.XLOOKUP(Tabla2__2[[#This Row],[CODIGO RUTA]],'DATA INFORME'!I:I,'DATA INFORME'!K:K)</f>
        <v>SI</v>
      </c>
      <c r="M84" s="35" t="str">
        <f>IF(Tabla2__2[[#This Row],[MYSTERY EFECTIVO]]="SI",_xlfn.XLOOKUP(Tabla2__2[[#This Row],[PREGUNTA]],ENCUESTA!G:G,ENCUESTA!D:D),"N/A")</f>
        <v>N/A</v>
      </c>
      <c r="N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84" s="35">
        <f>_xlfn.XLOOKUP(Tabla2__2[[#This Row],[PREGUNTA]],ENCUESTA!G:G,ENCUESTA!H:H)</f>
        <v>0</v>
      </c>
      <c r="P84" s="35">
        <f>IF(Tabla2__2[[#This Row],[RTA]]=Tabla2__2[[#This Row],[RTA CORRECTA]],Tabla2__2[[#This Row],[TOTAL PUNTAJE]],0)</f>
        <v>0</v>
      </c>
      <c r="Q84" s="35">
        <f>IF(OR(H84="Dog Chow húmedo",H84="Cat Chow húmedo",H84="Fancy Feast",H84="Felix",H84="Proplan húmedo",H84="One húmedo",H84="Snack Abrazzos",H84="Snak Dentalife",H84="Arenilla Tidy Cat"),N84,0)</f>
        <v>0</v>
      </c>
      <c r="R84" s="35"/>
    </row>
    <row r="85" spans="1:18" x14ac:dyDescent="0.35">
      <c r="A85" s="35" t="s">
        <v>95</v>
      </c>
      <c r="B85" s="35" t="s">
        <v>100</v>
      </c>
      <c r="C85" t="s">
        <v>41</v>
      </c>
      <c r="D85" s="35" t="s">
        <v>101</v>
      </c>
      <c r="E85" s="35">
        <v>66552</v>
      </c>
      <c r="F85" s="35" t="s">
        <v>158</v>
      </c>
      <c r="G85" s="35" t="s">
        <v>86</v>
      </c>
      <c r="H85" s="35" t="s">
        <v>20</v>
      </c>
      <c r="I85" s="36"/>
      <c r="J85" s="35">
        <v>30189338</v>
      </c>
      <c r="K85" s="35" t="s">
        <v>164</v>
      </c>
      <c r="L85" s="35" t="str">
        <f>_xlfn.XLOOKUP(Tabla2__2[[#This Row],[CODIGO RUTA]],'DATA INFORME'!I:I,'DATA INFORME'!K:K)</f>
        <v>SI</v>
      </c>
      <c r="M85" s="35" t="str">
        <f>IF(Tabla2__2[[#This Row],[MYSTERY EFECTIVO]]="SI",_xlfn.XLOOKUP(Tabla2__2[[#This Row],[PREGUNTA]],ENCUESTA!G:G,ENCUESTA!D:D),"N/A")</f>
        <v>HORARIO</v>
      </c>
      <c r="N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5" s="35" t="str">
        <f>_xlfn.XLOOKUP(Tabla2__2[[#This Row],[PREGUNTA]],ENCUESTA!G:G,ENCUESTA!H:H)</f>
        <v>SI</v>
      </c>
      <c r="P85" s="35">
        <f>IF(Tabla2__2[[#This Row],[RTA]]=Tabla2__2[[#This Row],[RTA CORRECTA]],Tabla2__2[[#This Row],[TOTAL PUNTAJE]],0)</f>
        <v>20</v>
      </c>
      <c r="Q85" s="35">
        <f>IF(OR(H85="Dog Chow húmedo",H85="Cat Chow húmedo",H85="Fancy Feast",H85="Felix",H85="Proplan húmedo",H85="One húmedo",H85="Snack Abrazzos",H85="Snak Dentalife",H85="Arenilla Tidy Cat"),N85,0)</f>
        <v>0</v>
      </c>
      <c r="R85" s="35"/>
    </row>
    <row r="86" spans="1:18" x14ac:dyDescent="0.35">
      <c r="A86" s="35" t="s">
        <v>95</v>
      </c>
      <c r="B86" s="35" t="s">
        <v>100</v>
      </c>
      <c r="C86" t="s">
        <v>41</v>
      </c>
      <c r="D86" s="35" t="s">
        <v>101</v>
      </c>
      <c r="E86" s="35">
        <v>66552</v>
      </c>
      <c r="F86" s="35" t="s">
        <v>158</v>
      </c>
      <c r="G86" s="35" t="s">
        <v>87</v>
      </c>
      <c r="H86" s="35" t="s">
        <v>20</v>
      </c>
      <c r="I86" s="36"/>
      <c r="J86" s="35">
        <v>30189338</v>
      </c>
      <c r="K86" s="35" t="s">
        <v>164</v>
      </c>
      <c r="L86" s="35" t="str">
        <f>_xlfn.XLOOKUP(Tabla2__2[[#This Row],[CODIGO RUTA]],'DATA INFORME'!I:I,'DATA INFORME'!K:K)</f>
        <v>SI</v>
      </c>
      <c r="M86" s="35" t="str">
        <f>IF(Tabla2__2[[#This Row],[MYSTERY EFECTIVO]]="SI",_xlfn.XLOOKUP(Tabla2__2[[#This Row],[PREGUNTA]],ENCUESTA!G:G,ENCUESTA!D:D),"N/A")</f>
        <v>UNIFORME</v>
      </c>
      <c r="N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6" s="35" t="str">
        <f>_xlfn.XLOOKUP(Tabla2__2[[#This Row],[PREGUNTA]],ENCUESTA!G:G,ENCUESTA!H:H)</f>
        <v>SI</v>
      </c>
      <c r="P86" s="35">
        <f>IF(Tabla2__2[[#This Row],[RTA]]=Tabla2__2[[#This Row],[RTA CORRECTA]],Tabla2__2[[#This Row],[TOTAL PUNTAJE]],0)</f>
        <v>1.5</v>
      </c>
      <c r="Q86" s="35">
        <f>IF(OR(H86="Dog Chow húmedo",H86="Cat Chow húmedo",H86="Fancy Feast",H86="Felix",H86="Proplan húmedo",H86="One húmedo",H86="Snack Abrazzos",H86="Snak Dentalife",H86="Arenilla Tidy Cat"),N86,0)</f>
        <v>0</v>
      </c>
      <c r="R86" s="35"/>
    </row>
    <row r="87" spans="1:18" x14ac:dyDescent="0.35">
      <c r="A87" s="35" t="s">
        <v>95</v>
      </c>
      <c r="B87" s="35" t="s">
        <v>100</v>
      </c>
      <c r="C87" t="s">
        <v>41</v>
      </c>
      <c r="D87" s="35" t="s">
        <v>101</v>
      </c>
      <c r="E87" s="35">
        <v>66552</v>
      </c>
      <c r="F87" s="35" t="s">
        <v>158</v>
      </c>
      <c r="G87" s="35" t="s">
        <v>110</v>
      </c>
      <c r="H87" s="35" t="s">
        <v>20</v>
      </c>
      <c r="I87" s="36"/>
      <c r="J87" s="35">
        <v>30189338</v>
      </c>
      <c r="K87" s="35" t="s">
        <v>164</v>
      </c>
      <c r="L87" s="35" t="str">
        <f>_xlfn.XLOOKUP(Tabla2__2[[#This Row],[CODIGO RUTA]],'DATA INFORME'!I:I,'DATA INFORME'!K:K)</f>
        <v>SI</v>
      </c>
      <c r="M87" s="35" t="str">
        <f>IF(Tabla2__2[[#This Row],[MYSTERY EFECTIVO]]="SI",_xlfn.XLOOKUP(Tabla2__2[[#This Row],[PREGUNTA]],ENCUESTA!G:G,ENCUESTA!D:D),"N/A")</f>
        <v>UNIFORME</v>
      </c>
      <c r="N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7" s="35" t="str">
        <f>_xlfn.XLOOKUP(Tabla2__2[[#This Row],[PREGUNTA]],ENCUESTA!G:G,ENCUESTA!H:H)</f>
        <v>SI</v>
      </c>
      <c r="P87" s="35">
        <f>IF(Tabla2__2[[#This Row],[RTA]]=Tabla2__2[[#This Row],[RTA CORRECTA]],Tabla2__2[[#This Row],[TOTAL PUNTAJE]],0)</f>
        <v>1.5</v>
      </c>
      <c r="Q87" s="35">
        <f>IF(OR(H87="Dog Chow húmedo",H87="Cat Chow húmedo",H87="Fancy Feast",H87="Felix",H87="Proplan húmedo",H87="One húmedo",H87="Snack Abrazzos",H87="Snak Dentalife",H87="Arenilla Tidy Cat"),N87,0)</f>
        <v>0</v>
      </c>
      <c r="R87" s="35"/>
    </row>
    <row r="88" spans="1:18" x14ac:dyDescent="0.35">
      <c r="A88" s="35" t="s">
        <v>95</v>
      </c>
      <c r="B88" s="35" t="s">
        <v>100</v>
      </c>
      <c r="C88" t="s">
        <v>41</v>
      </c>
      <c r="D88" s="35" t="s">
        <v>101</v>
      </c>
      <c r="E88" s="35">
        <v>66552</v>
      </c>
      <c r="F88" s="35" t="s">
        <v>158</v>
      </c>
      <c r="G88" s="35" t="s">
        <v>35</v>
      </c>
      <c r="H88" s="35" t="s">
        <v>20</v>
      </c>
      <c r="I88" s="36"/>
      <c r="J88" s="35">
        <v>30189338</v>
      </c>
      <c r="K88" s="35" t="s">
        <v>164</v>
      </c>
      <c r="L88" s="35" t="str">
        <f>_xlfn.XLOOKUP(Tabla2__2[[#This Row],[CODIGO RUTA]],'DATA INFORME'!I:I,'DATA INFORME'!K:K)</f>
        <v>SI</v>
      </c>
      <c r="M88" s="35" t="str">
        <f>IF(Tabla2__2[[#This Row],[MYSTERY EFECTIVO]]="SI",_xlfn.XLOOKUP(Tabla2__2[[#This Row],[PREGUNTA]],ENCUESTA!G:G,ENCUESTA!D:D),"N/A")</f>
        <v>UNIFORME</v>
      </c>
      <c r="N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8" s="35" t="str">
        <f>_xlfn.XLOOKUP(Tabla2__2[[#This Row],[PREGUNTA]],ENCUESTA!G:G,ENCUESTA!H:H)</f>
        <v>SI</v>
      </c>
      <c r="P88" s="35">
        <f>IF(Tabla2__2[[#This Row],[RTA]]=Tabla2__2[[#This Row],[RTA CORRECTA]],Tabla2__2[[#This Row],[TOTAL PUNTAJE]],0)</f>
        <v>1.5</v>
      </c>
      <c r="Q88" s="35">
        <f>IF(OR(H88="Dog Chow húmedo",H88="Cat Chow húmedo",H88="Fancy Feast",H88="Felix",H88="Proplan húmedo",H88="One húmedo",H88="Snack Abrazzos",H88="Snak Dentalife",H88="Arenilla Tidy Cat"),N88,0)</f>
        <v>0</v>
      </c>
      <c r="R88" s="35"/>
    </row>
    <row r="89" spans="1:18" x14ac:dyDescent="0.35">
      <c r="A89" s="35" t="s">
        <v>95</v>
      </c>
      <c r="B89" s="35" t="s">
        <v>100</v>
      </c>
      <c r="C89" t="s">
        <v>41</v>
      </c>
      <c r="D89" s="35" t="s">
        <v>101</v>
      </c>
      <c r="E89" s="35">
        <v>66552</v>
      </c>
      <c r="F89" s="35" t="s">
        <v>158</v>
      </c>
      <c r="G89" s="35" t="s">
        <v>111</v>
      </c>
      <c r="H89" s="35" t="s">
        <v>94</v>
      </c>
      <c r="I89" s="36"/>
      <c r="J89" s="35">
        <v>30189338</v>
      </c>
      <c r="K89" s="35" t="s">
        <v>164</v>
      </c>
      <c r="L89" s="35" t="str">
        <f>_xlfn.XLOOKUP(Tabla2__2[[#This Row],[CODIGO RUTA]],'DATA INFORME'!I:I,'DATA INFORME'!K:K)</f>
        <v>SI</v>
      </c>
      <c r="M89" s="35" t="str">
        <f>IF(Tabla2__2[[#This Row],[MYSTERY EFECTIVO]]="SI",_xlfn.XLOOKUP(Tabla2__2[[#This Row],[PREGUNTA]],ENCUESTA!G:G,ENCUESTA!D:D),"N/A")</f>
        <v>UNIFORME</v>
      </c>
      <c r="N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9" s="35" t="str">
        <f>_xlfn.XLOOKUP(Tabla2__2[[#This Row],[PREGUNTA]],ENCUESTA!G:G,ENCUESTA!H:H)</f>
        <v>NO</v>
      </c>
      <c r="P89" s="35">
        <f>IF(Tabla2__2[[#This Row],[RTA]]=Tabla2__2[[#This Row],[RTA CORRECTA]],Tabla2__2[[#This Row],[TOTAL PUNTAJE]],0)</f>
        <v>1.5</v>
      </c>
      <c r="Q89" s="35">
        <f>IF(OR(H89="Dog Chow húmedo",H89="Cat Chow húmedo",H89="Fancy Feast",H89="Felix",H89="Proplan húmedo",H89="One húmedo",H89="Snack Abrazzos",H89="Snak Dentalife",H89="Arenilla Tidy Cat"),N89,0)</f>
        <v>0</v>
      </c>
      <c r="R89" s="35"/>
    </row>
    <row r="90" spans="1:18" x14ac:dyDescent="0.35">
      <c r="A90" s="35" t="s">
        <v>95</v>
      </c>
      <c r="B90" s="35" t="s">
        <v>8</v>
      </c>
      <c r="C90" t="s">
        <v>14</v>
      </c>
      <c r="D90" s="35" t="s">
        <v>142</v>
      </c>
      <c r="E90" s="35">
        <v>424858</v>
      </c>
      <c r="F90" s="35" t="s">
        <v>151</v>
      </c>
      <c r="G90" s="35" t="s">
        <v>117</v>
      </c>
      <c r="H90" s="35" t="s">
        <v>94</v>
      </c>
      <c r="I90" s="36"/>
      <c r="J90" s="35">
        <v>30182843</v>
      </c>
      <c r="K90" s="35" t="s">
        <v>98</v>
      </c>
      <c r="L90" s="35" t="str">
        <f>_xlfn.XLOOKUP(Tabla2__2[[#This Row],[CODIGO RUTA]],'DATA INFORME'!I:I,'DATA INFORME'!K:K)</f>
        <v>SI</v>
      </c>
      <c r="M90" s="35" t="str">
        <f>IF(Tabla2__2[[#This Row],[MYSTERY EFECTIVO]]="SI",_xlfn.XLOOKUP(Tabla2__2[[#This Row],[PREGUNTA]],ENCUESTA!G:G,ENCUESTA!D:D),"N/A")</f>
        <v>N/A</v>
      </c>
      <c r="N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0" s="35">
        <f>_xlfn.XLOOKUP(Tabla2__2[[#This Row],[PREGUNTA]],ENCUESTA!G:G,ENCUESTA!H:H)</f>
        <v>0</v>
      </c>
      <c r="P90" s="35">
        <f>IF(Tabla2__2[[#This Row],[RTA]]=Tabla2__2[[#This Row],[RTA CORRECTA]],Tabla2__2[[#This Row],[TOTAL PUNTAJE]],0)</f>
        <v>0</v>
      </c>
      <c r="Q90" s="35">
        <f>IF(OR(H90="Dog Chow húmedo",H90="Cat Chow húmedo",H90="Fancy Feast",H90="Felix",H90="Proplan húmedo",H90="One húmedo",H90="Snack Abrazzos",H90="Snak Dentalife",H90="Arenilla Tidy Cat"),N90,0)</f>
        <v>0</v>
      </c>
      <c r="R90" s="35"/>
    </row>
    <row r="91" spans="1:18" x14ac:dyDescent="0.35">
      <c r="A91" s="35" t="s">
        <v>95</v>
      </c>
      <c r="B91" s="35" t="s">
        <v>8</v>
      </c>
      <c r="C91" t="s">
        <v>14</v>
      </c>
      <c r="D91" s="35" t="s">
        <v>142</v>
      </c>
      <c r="E91" s="35">
        <v>424858</v>
      </c>
      <c r="F91" s="35" t="s">
        <v>151</v>
      </c>
      <c r="G91" s="35" t="s">
        <v>138</v>
      </c>
      <c r="H91" s="35" t="s">
        <v>20</v>
      </c>
      <c r="I91" s="36"/>
      <c r="J91" s="35">
        <v>30182843</v>
      </c>
      <c r="K91" s="35" t="s">
        <v>98</v>
      </c>
      <c r="L91" s="35" t="str">
        <f>_xlfn.XLOOKUP(Tabla2__2[[#This Row],[CODIGO RUTA]],'DATA INFORME'!I:I,'DATA INFORME'!K:K)</f>
        <v>SI</v>
      </c>
      <c r="M91" s="35" t="str">
        <f>IF(Tabla2__2[[#This Row],[MYSTERY EFECTIVO]]="SI",_xlfn.XLOOKUP(Tabla2__2[[#This Row],[PREGUNTA]],ENCUESTA!G:G,ENCUESTA!D:D),"N/A")</f>
        <v>PORTAFOLIO Y MANEJO DE OBJECIONES</v>
      </c>
      <c r="N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1" s="35" t="str">
        <f>_xlfn.XLOOKUP(Tabla2__2[[#This Row],[PREGUNTA]],ENCUESTA!G:G,ENCUESTA!H:H)</f>
        <v>SI</v>
      </c>
      <c r="P91" s="35">
        <f>IF(Tabla2__2[[#This Row],[RTA]]=Tabla2__2[[#This Row],[RTA CORRECTA]],Tabla2__2[[#This Row],[TOTAL PUNTAJE]],0)</f>
        <v>3</v>
      </c>
      <c r="Q91" s="35">
        <f>IF(OR(H91="Dog Chow húmedo",H91="Cat Chow húmedo",H91="Fancy Feast",H91="Felix",H91="Proplan húmedo",H91="One húmedo",H91="Snack Abrazzos",H91="Snak Dentalife",H91="Arenilla Tidy Cat"),N91,0)</f>
        <v>0</v>
      </c>
      <c r="R91" s="35"/>
    </row>
    <row r="92" spans="1:18" x14ac:dyDescent="0.35">
      <c r="A92" s="35" t="s">
        <v>95</v>
      </c>
      <c r="B92" s="35" t="s">
        <v>8</v>
      </c>
      <c r="C92" t="s">
        <v>14</v>
      </c>
      <c r="D92" s="35" t="s">
        <v>142</v>
      </c>
      <c r="E92" s="35">
        <v>424858</v>
      </c>
      <c r="F92" s="35" t="s">
        <v>151</v>
      </c>
      <c r="G92" s="35" t="s">
        <v>137</v>
      </c>
      <c r="H92" s="35" t="s">
        <v>20</v>
      </c>
      <c r="I92" s="36"/>
      <c r="J92" s="35">
        <v>30182843</v>
      </c>
      <c r="K92" s="35" t="s">
        <v>98</v>
      </c>
      <c r="L92" s="35" t="str">
        <f>_xlfn.XLOOKUP(Tabla2__2[[#This Row],[CODIGO RUTA]],'DATA INFORME'!I:I,'DATA INFORME'!K:K)</f>
        <v>SI</v>
      </c>
      <c r="M92" s="35" t="str">
        <f>IF(Tabla2__2[[#This Row],[MYSTERY EFECTIVO]]="SI",_xlfn.XLOOKUP(Tabla2__2[[#This Row],[PREGUNTA]],ENCUESTA!G:G,ENCUESTA!D:D),"N/A")</f>
        <v>PORTAFOLIO Y MANEJO DE OBJECIONES</v>
      </c>
      <c r="N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2" s="35" t="str">
        <f>_xlfn.XLOOKUP(Tabla2__2[[#This Row],[PREGUNTA]],ENCUESTA!G:G,ENCUESTA!H:H)</f>
        <v>SI</v>
      </c>
      <c r="P92" s="35">
        <f>IF(Tabla2__2[[#This Row],[RTA]]=Tabla2__2[[#This Row],[RTA CORRECTA]],Tabla2__2[[#This Row],[TOTAL PUNTAJE]],0)</f>
        <v>3</v>
      </c>
      <c r="Q92" s="35">
        <f>IF(OR(H92="Dog Chow húmedo",H92="Cat Chow húmedo",H92="Fancy Feast",H92="Felix",H92="Proplan húmedo",H92="One húmedo",H92="Snack Abrazzos",H92="Snak Dentalife",H92="Arenilla Tidy Cat"),N92,0)</f>
        <v>0</v>
      </c>
      <c r="R92" s="35"/>
    </row>
    <row r="93" spans="1:18" x14ac:dyDescent="0.35">
      <c r="A93" s="35" t="s">
        <v>95</v>
      </c>
      <c r="B93" s="35" t="s">
        <v>8</v>
      </c>
      <c r="C93" t="s">
        <v>14</v>
      </c>
      <c r="D93" s="35" t="s">
        <v>142</v>
      </c>
      <c r="E93" s="35">
        <v>424858</v>
      </c>
      <c r="F93" s="35" t="s">
        <v>151</v>
      </c>
      <c r="G93" s="35" t="s">
        <v>136</v>
      </c>
      <c r="H93" s="35" t="s">
        <v>20</v>
      </c>
      <c r="I93" s="36"/>
      <c r="J93" s="35">
        <v>30182843</v>
      </c>
      <c r="K93" s="35" t="s">
        <v>98</v>
      </c>
      <c r="L93" s="35" t="str">
        <f>_xlfn.XLOOKUP(Tabla2__2[[#This Row],[CODIGO RUTA]],'DATA INFORME'!I:I,'DATA INFORME'!K:K)</f>
        <v>SI</v>
      </c>
      <c r="M93" s="35" t="str">
        <f>IF(Tabla2__2[[#This Row],[MYSTERY EFECTIVO]]="SI",_xlfn.XLOOKUP(Tabla2__2[[#This Row],[PREGUNTA]],ENCUESTA!G:G,ENCUESTA!D:D),"N/A")</f>
        <v>PORTAFOLIO Y MANEJO DE OBJECIONES</v>
      </c>
      <c r="N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93" s="35" t="str">
        <f>_xlfn.XLOOKUP(Tabla2__2[[#This Row],[PREGUNTA]],ENCUESTA!G:G,ENCUESTA!H:H)</f>
        <v>SI</v>
      </c>
      <c r="P93" s="35">
        <f>IF(Tabla2__2[[#This Row],[RTA]]=Tabla2__2[[#This Row],[RTA CORRECTA]],Tabla2__2[[#This Row],[TOTAL PUNTAJE]],0)</f>
        <v>3</v>
      </c>
      <c r="Q93" s="35">
        <f>IF(OR(H93="Dog Chow húmedo",H93="Cat Chow húmedo",H93="Fancy Feast",H93="Felix",H93="Proplan húmedo",H93="One húmedo",H93="Snack Abrazzos",H93="Snak Dentalife",H93="Arenilla Tidy Cat"),N93,0)</f>
        <v>0</v>
      </c>
      <c r="R93" s="35"/>
    </row>
    <row r="94" spans="1:18" x14ac:dyDescent="0.35">
      <c r="A94" s="35" t="s">
        <v>95</v>
      </c>
      <c r="B94" s="35" t="s">
        <v>8</v>
      </c>
      <c r="C94" t="s">
        <v>14</v>
      </c>
      <c r="D94" s="35" t="s">
        <v>142</v>
      </c>
      <c r="E94" s="35">
        <v>424858</v>
      </c>
      <c r="F94" s="35" t="s">
        <v>151</v>
      </c>
      <c r="G94" s="35" t="s">
        <v>86</v>
      </c>
      <c r="H94" s="35" t="s">
        <v>20</v>
      </c>
      <c r="I94" s="36"/>
      <c r="J94" s="35">
        <v>30182843</v>
      </c>
      <c r="K94" s="35" t="s">
        <v>98</v>
      </c>
      <c r="L94" s="35" t="str">
        <f>_xlfn.XLOOKUP(Tabla2__2[[#This Row],[CODIGO RUTA]],'DATA INFORME'!I:I,'DATA INFORME'!K:K)</f>
        <v>SI</v>
      </c>
      <c r="M94" s="35" t="str">
        <f>IF(Tabla2__2[[#This Row],[MYSTERY EFECTIVO]]="SI",_xlfn.XLOOKUP(Tabla2__2[[#This Row],[PREGUNTA]],ENCUESTA!G:G,ENCUESTA!D:D),"N/A")</f>
        <v>HORARIO</v>
      </c>
      <c r="N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94" s="35" t="str">
        <f>_xlfn.XLOOKUP(Tabla2__2[[#This Row],[PREGUNTA]],ENCUESTA!G:G,ENCUESTA!H:H)</f>
        <v>SI</v>
      </c>
      <c r="P94" s="35">
        <f>IF(Tabla2__2[[#This Row],[RTA]]=Tabla2__2[[#This Row],[RTA CORRECTA]],Tabla2__2[[#This Row],[TOTAL PUNTAJE]],0)</f>
        <v>20</v>
      </c>
      <c r="Q94" s="35">
        <f>IF(OR(H94="Dog Chow húmedo",H94="Cat Chow húmedo",H94="Fancy Feast",H94="Felix",H94="Proplan húmedo",H94="One húmedo",H94="Snack Abrazzos",H94="Snak Dentalife",H94="Arenilla Tidy Cat"),N94,0)</f>
        <v>0</v>
      </c>
      <c r="R94" s="35"/>
    </row>
    <row r="95" spans="1:18" x14ac:dyDescent="0.35">
      <c r="A95" s="35" t="s">
        <v>95</v>
      </c>
      <c r="B95" s="35" t="s">
        <v>8</v>
      </c>
      <c r="C95" t="s">
        <v>14</v>
      </c>
      <c r="D95" s="35" t="s">
        <v>142</v>
      </c>
      <c r="E95" s="35">
        <v>424858</v>
      </c>
      <c r="F95" s="35" t="s">
        <v>151</v>
      </c>
      <c r="G95" s="35" t="s">
        <v>87</v>
      </c>
      <c r="H95" s="35" t="s">
        <v>20</v>
      </c>
      <c r="I95" s="36"/>
      <c r="J95" s="35">
        <v>30182843</v>
      </c>
      <c r="K95" s="35" t="s">
        <v>98</v>
      </c>
      <c r="L95" s="35" t="str">
        <f>_xlfn.XLOOKUP(Tabla2__2[[#This Row],[CODIGO RUTA]],'DATA INFORME'!I:I,'DATA INFORME'!K:K)</f>
        <v>SI</v>
      </c>
      <c r="M95" s="35" t="str">
        <f>IF(Tabla2__2[[#This Row],[MYSTERY EFECTIVO]]="SI",_xlfn.XLOOKUP(Tabla2__2[[#This Row],[PREGUNTA]],ENCUESTA!G:G,ENCUESTA!D:D),"N/A")</f>
        <v>UNIFORME</v>
      </c>
      <c r="N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5" s="35" t="str">
        <f>_xlfn.XLOOKUP(Tabla2__2[[#This Row],[PREGUNTA]],ENCUESTA!G:G,ENCUESTA!H:H)</f>
        <v>SI</v>
      </c>
      <c r="P95" s="35">
        <f>IF(Tabla2__2[[#This Row],[RTA]]=Tabla2__2[[#This Row],[RTA CORRECTA]],Tabla2__2[[#This Row],[TOTAL PUNTAJE]],0)</f>
        <v>1.5</v>
      </c>
      <c r="Q95" s="35">
        <f>IF(OR(H95="Dog Chow húmedo",H95="Cat Chow húmedo",H95="Fancy Feast",H95="Felix",H95="Proplan húmedo",H95="One húmedo",H95="Snack Abrazzos",H95="Snak Dentalife",H95="Arenilla Tidy Cat"),N95,0)</f>
        <v>0</v>
      </c>
      <c r="R95" s="35"/>
    </row>
    <row r="96" spans="1:18" x14ac:dyDescent="0.35">
      <c r="A96" s="35" t="s">
        <v>95</v>
      </c>
      <c r="B96" s="35" t="s">
        <v>8</v>
      </c>
      <c r="C96" t="s">
        <v>14</v>
      </c>
      <c r="D96" s="35" t="s">
        <v>142</v>
      </c>
      <c r="E96" s="35">
        <v>424858</v>
      </c>
      <c r="F96" s="35" t="s">
        <v>151</v>
      </c>
      <c r="G96" s="35" t="s">
        <v>110</v>
      </c>
      <c r="H96" s="35" t="s">
        <v>20</v>
      </c>
      <c r="I96" s="36"/>
      <c r="J96" s="35">
        <v>30182843</v>
      </c>
      <c r="K96" s="35" t="s">
        <v>98</v>
      </c>
      <c r="L96" s="35" t="str">
        <f>_xlfn.XLOOKUP(Tabla2__2[[#This Row],[CODIGO RUTA]],'DATA INFORME'!I:I,'DATA INFORME'!K:K)</f>
        <v>SI</v>
      </c>
      <c r="M96" s="35" t="str">
        <f>IF(Tabla2__2[[#This Row],[MYSTERY EFECTIVO]]="SI",_xlfn.XLOOKUP(Tabla2__2[[#This Row],[PREGUNTA]],ENCUESTA!G:G,ENCUESTA!D:D),"N/A")</f>
        <v>UNIFORME</v>
      </c>
      <c r="N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6" s="35" t="str">
        <f>_xlfn.XLOOKUP(Tabla2__2[[#This Row],[PREGUNTA]],ENCUESTA!G:G,ENCUESTA!H:H)</f>
        <v>SI</v>
      </c>
      <c r="P96" s="35">
        <f>IF(Tabla2__2[[#This Row],[RTA]]=Tabla2__2[[#This Row],[RTA CORRECTA]],Tabla2__2[[#This Row],[TOTAL PUNTAJE]],0)</f>
        <v>1.5</v>
      </c>
      <c r="Q96" s="35">
        <f>IF(OR(H96="Dog Chow húmedo",H96="Cat Chow húmedo",H96="Fancy Feast",H96="Felix",H96="Proplan húmedo",H96="One húmedo",H96="Snack Abrazzos",H96="Snak Dentalife",H96="Arenilla Tidy Cat"),N96,0)</f>
        <v>0</v>
      </c>
      <c r="R96" s="35"/>
    </row>
    <row r="97" spans="1:18" x14ac:dyDescent="0.35">
      <c r="A97" s="35" t="s">
        <v>95</v>
      </c>
      <c r="B97" s="35" t="s">
        <v>8</v>
      </c>
      <c r="C97" t="s">
        <v>14</v>
      </c>
      <c r="D97" s="35" t="s">
        <v>142</v>
      </c>
      <c r="E97" s="35">
        <v>424858</v>
      </c>
      <c r="F97" s="35" t="s">
        <v>151</v>
      </c>
      <c r="G97" s="35" t="s">
        <v>35</v>
      </c>
      <c r="H97" s="35" t="s">
        <v>20</v>
      </c>
      <c r="I97" s="36"/>
      <c r="J97" s="35">
        <v>30182843</v>
      </c>
      <c r="K97" s="35" t="s">
        <v>98</v>
      </c>
      <c r="L97" s="35" t="str">
        <f>_xlfn.XLOOKUP(Tabla2__2[[#This Row],[CODIGO RUTA]],'DATA INFORME'!I:I,'DATA INFORME'!K:K)</f>
        <v>SI</v>
      </c>
      <c r="M97" s="35" t="str">
        <f>IF(Tabla2__2[[#This Row],[MYSTERY EFECTIVO]]="SI",_xlfn.XLOOKUP(Tabla2__2[[#This Row],[PREGUNTA]],ENCUESTA!G:G,ENCUESTA!D:D),"N/A")</f>
        <v>UNIFORME</v>
      </c>
      <c r="N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7" s="35" t="str">
        <f>_xlfn.XLOOKUP(Tabla2__2[[#This Row],[PREGUNTA]],ENCUESTA!G:G,ENCUESTA!H:H)</f>
        <v>SI</v>
      </c>
      <c r="P97" s="35">
        <f>IF(Tabla2__2[[#This Row],[RTA]]=Tabla2__2[[#This Row],[RTA CORRECTA]],Tabla2__2[[#This Row],[TOTAL PUNTAJE]],0)</f>
        <v>1.5</v>
      </c>
      <c r="Q97" s="35">
        <f>IF(OR(H97="Dog Chow húmedo",H97="Cat Chow húmedo",H97="Fancy Feast",H97="Felix",H97="Proplan húmedo",H97="One húmedo",H97="Snack Abrazzos",H97="Snak Dentalife",H97="Arenilla Tidy Cat"),N97,0)</f>
        <v>0</v>
      </c>
      <c r="R97" s="35"/>
    </row>
    <row r="98" spans="1:18" x14ac:dyDescent="0.35">
      <c r="A98" s="35" t="s">
        <v>95</v>
      </c>
      <c r="B98" s="35" t="s">
        <v>8</v>
      </c>
      <c r="C98" t="s">
        <v>14</v>
      </c>
      <c r="D98" s="35" t="s">
        <v>142</v>
      </c>
      <c r="E98" s="35">
        <v>424858</v>
      </c>
      <c r="F98" s="35" t="s">
        <v>151</v>
      </c>
      <c r="G98" s="35" t="s">
        <v>111</v>
      </c>
      <c r="H98" s="35" t="s">
        <v>94</v>
      </c>
      <c r="I98" s="36"/>
      <c r="J98" s="35">
        <v>30182843</v>
      </c>
      <c r="K98" s="35" t="s">
        <v>98</v>
      </c>
      <c r="L98" s="35" t="str">
        <f>_xlfn.XLOOKUP(Tabla2__2[[#This Row],[CODIGO RUTA]],'DATA INFORME'!I:I,'DATA INFORME'!K:K)</f>
        <v>SI</v>
      </c>
      <c r="M98" s="35" t="str">
        <f>IF(Tabla2__2[[#This Row],[MYSTERY EFECTIVO]]="SI",_xlfn.XLOOKUP(Tabla2__2[[#This Row],[PREGUNTA]],ENCUESTA!G:G,ENCUESTA!D:D),"N/A")</f>
        <v>UNIFORME</v>
      </c>
      <c r="N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8" s="35" t="str">
        <f>_xlfn.XLOOKUP(Tabla2__2[[#This Row],[PREGUNTA]],ENCUESTA!G:G,ENCUESTA!H:H)</f>
        <v>NO</v>
      </c>
      <c r="P98" s="35">
        <f>IF(Tabla2__2[[#This Row],[RTA]]=Tabla2__2[[#This Row],[RTA CORRECTA]],Tabla2__2[[#This Row],[TOTAL PUNTAJE]],0)</f>
        <v>1.5</v>
      </c>
      <c r="Q98" s="35">
        <f>IF(OR(H98="Dog Chow húmedo",H98="Cat Chow húmedo",H98="Fancy Feast",H98="Felix",H98="Proplan húmedo",H98="One húmedo",H98="Snack Abrazzos",H98="Snak Dentalife",H98="Arenilla Tidy Cat"),N98,0)</f>
        <v>0</v>
      </c>
      <c r="R98" s="35"/>
    </row>
    <row r="99" spans="1:18" x14ac:dyDescent="0.35">
      <c r="A99" s="35" t="s">
        <v>95</v>
      </c>
      <c r="B99" s="35" t="s">
        <v>8</v>
      </c>
      <c r="C99" t="s">
        <v>14</v>
      </c>
      <c r="D99" s="35" t="s">
        <v>142</v>
      </c>
      <c r="E99" s="35">
        <v>424858</v>
      </c>
      <c r="F99" s="35" t="s">
        <v>151</v>
      </c>
      <c r="G99" s="35" t="s">
        <v>88</v>
      </c>
      <c r="H99" s="35" t="s">
        <v>20</v>
      </c>
      <c r="I99" s="36"/>
      <c r="J99" s="35">
        <v>30182843</v>
      </c>
      <c r="K99" s="35" t="s">
        <v>98</v>
      </c>
      <c r="L99" s="35" t="str">
        <f>_xlfn.XLOOKUP(Tabla2__2[[#This Row],[CODIGO RUTA]],'DATA INFORME'!I:I,'DATA INFORME'!K:K)</f>
        <v>SI</v>
      </c>
      <c r="M99" s="35" t="str">
        <f>IF(Tabla2__2[[#This Row],[MYSTERY EFECTIVO]]="SI",_xlfn.XLOOKUP(Tabla2__2[[#This Row],[PREGUNTA]],ENCUESTA!G:G,ENCUESTA!D:D),"N/A")</f>
        <v>UNIFORME</v>
      </c>
      <c r="N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9" s="35" t="str">
        <f>_xlfn.XLOOKUP(Tabla2__2[[#This Row],[PREGUNTA]],ENCUESTA!G:G,ENCUESTA!H:H)</f>
        <v>SI</v>
      </c>
      <c r="P99" s="35">
        <f>IF(Tabla2__2[[#This Row],[RTA]]=Tabla2__2[[#This Row],[RTA CORRECTA]],Tabla2__2[[#This Row],[TOTAL PUNTAJE]],0)</f>
        <v>1.5</v>
      </c>
      <c r="Q99" s="35">
        <f>IF(OR(H99="Dog Chow húmedo",H99="Cat Chow húmedo",H99="Fancy Feast",H99="Felix",H99="Proplan húmedo",H99="One húmedo",H99="Snack Abrazzos",H99="Snak Dentalife",H99="Arenilla Tidy Cat"),N99,0)</f>
        <v>0</v>
      </c>
      <c r="R99" s="35"/>
    </row>
    <row r="100" spans="1:18" x14ac:dyDescent="0.35">
      <c r="A100" s="35" t="s">
        <v>95</v>
      </c>
      <c r="B100" s="35" t="s">
        <v>8</v>
      </c>
      <c r="C100" t="s">
        <v>14</v>
      </c>
      <c r="D100" s="35" t="s">
        <v>142</v>
      </c>
      <c r="E100" s="35">
        <v>424858</v>
      </c>
      <c r="F100" s="35" t="s">
        <v>151</v>
      </c>
      <c r="G100" s="35" t="s">
        <v>89</v>
      </c>
      <c r="H100" s="35" t="s">
        <v>20</v>
      </c>
      <c r="I100" s="36"/>
      <c r="J100" s="35">
        <v>30182843</v>
      </c>
      <c r="K100" s="35" t="s">
        <v>98</v>
      </c>
      <c r="L100" s="35" t="str">
        <f>_xlfn.XLOOKUP(Tabla2__2[[#This Row],[CODIGO RUTA]],'DATA INFORME'!I:I,'DATA INFORME'!K:K)</f>
        <v>SI</v>
      </c>
      <c r="M100" s="35" t="str">
        <f>IF(Tabla2__2[[#This Row],[MYSTERY EFECTIVO]]="SI",_xlfn.XLOOKUP(Tabla2__2[[#This Row],[PREGUNTA]],ENCUESTA!G:G,ENCUESTA!D:D),"N/A")</f>
        <v>UNIFORME</v>
      </c>
      <c r="N1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0" s="35" t="str">
        <f>_xlfn.XLOOKUP(Tabla2__2[[#This Row],[PREGUNTA]],ENCUESTA!G:G,ENCUESTA!H:H)</f>
        <v>SI</v>
      </c>
      <c r="P100" s="35">
        <f>IF(Tabla2__2[[#This Row],[RTA]]=Tabla2__2[[#This Row],[RTA CORRECTA]],Tabla2__2[[#This Row],[TOTAL PUNTAJE]],0)</f>
        <v>1.5</v>
      </c>
      <c r="Q100" s="35">
        <f>IF(OR(H100="Dog Chow húmedo",H100="Cat Chow húmedo",H100="Fancy Feast",H100="Felix",H100="Proplan húmedo",H100="One húmedo",H100="Snack Abrazzos",H100="Snak Dentalife",H100="Arenilla Tidy Cat"),N100,0)</f>
        <v>0</v>
      </c>
      <c r="R100" s="35"/>
    </row>
    <row r="101" spans="1:18" x14ac:dyDescent="0.35">
      <c r="A101" s="35" t="s">
        <v>95</v>
      </c>
      <c r="B101" s="35" t="s">
        <v>8</v>
      </c>
      <c r="C101" t="s">
        <v>14</v>
      </c>
      <c r="D101" s="35" t="s">
        <v>142</v>
      </c>
      <c r="E101" s="35">
        <v>424858</v>
      </c>
      <c r="F101" s="35" t="s">
        <v>151</v>
      </c>
      <c r="G101" s="35" t="s">
        <v>90</v>
      </c>
      <c r="H101" s="35" t="s">
        <v>94</v>
      </c>
      <c r="I101" s="36"/>
      <c r="J101" s="35">
        <v>30182843</v>
      </c>
      <c r="K101" s="35" t="s">
        <v>98</v>
      </c>
      <c r="L101" s="35" t="str">
        <f>_xlfn.XLOOKUP(Tabla2__2[[#This Row],[CODIGO RUTA]],'DATA INFORME'!I:I,'DATA INFORME'!K:K)</f>
        <v>SI</v>
      </c>
      <c r="M101" s="35" t="str">
        <f>IF(Tabla2__2[[#This Row],[MYSTERY EFECTIVO]]="SI",_xlfn.XLOOKUP(Tabla2__2[[#This Row],[PREGUNTA]],ENCUESTA!G:G,ENCUESTA!D:D),"N/A")</f>
        <v>UNIFORME</v>
      </c>
      <c r="N1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1" s="35" t="str">
        <f>_xlfn.XLOOKUP(Tabla2__2[[#This Row],[PREGUNTA]],ENCUESTA!G:G,ENCUESTA!H:H)</f>
        <v>NO</v>
      </c>
      <c r="P101" s="35">
        <f>IF(Tabla2__2[[#This Row],[RTA]]=Tabla2__2[[#This Row],[RTA CORRECTA]],Tabla2__2[[#This Row],[TOTAL PUNTAJE]],0)</f>
        <v>1.5</v>
      </c>
      <c r="Q101" s="35">
        <f>IF(OR(H101="Dog Chow húmedo",H101="Cat Chow húmedo",H101="Fancy Feast",H101="Felix",H101="Proplan húmedo",H101="One húmedo",H101="Snack Abrazzos",H101="Snak Dentalife",H101="Arenilla Tidy Cat"),N101,0)</f>
        <v>0</v>
      </c>
      <c r="R101" s="35"/>
    </row>
    <row r="102" spans="1:18" x14ac:dyDescent="0.35">
      <c r="A102" s="35" t="s">
        <v>95</v>
      </c>
      <c r="B102" s="35" t="s">
        <v>8</v>
      </c>
      <c r="C102" t="s">
        <v>14</v>
      </c>
      <c r="D102" s="35" t="s">
        <v>142</v>
      </c>
      <c r="E102" s="35">
        <v>424858</v>
      </c>
      <c r="F102" s="35" t="s">
        <v>151</v>
      </c>
      <c r="G102" s="35" t="s">
        <v>91</v>
      </c>
      <c r="H102" s="35" t="s">
        <v>94</v>
      </c>
      <c r="I102" s="36"/>
      <c r="J102" s="35">
        <v>30182843</v>
      </c>
      <c r="K102" s="35" t="s">
        <v>98</v>
      </c>
      <c r="L102" s="35" t="str">
        <f>_xlfn.XLOOKUP(Tabla2__2[[#This Row],[CODIGO RUTA]],'DATA INFORME'!I:I,'DATA INFORME'!K:K)</f>
        <v>SI</v>
      </c>
      <c r="M102" s="35" t="str">
        <f>IF(Tabla2__2[[#This Row],[MYSTERY EFECTIVO]]="SI",_xlfn.XLOOKUP(Tabla2__2[[#This Row],[PREGUNTA]],ENCUESTA!G:G,ENCUESTA!D:D),"N/A")</f>
        <v>UNIFORME</v>
      </c>
      <c r="N1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2" s="35" t="str">
        <f>_xlfn.XLOOKUP(Tabla2__2[[#This Row],[PREGUNTA]],ENCUESTA!G:G,ENCUESTA!H:H)</f>
        <v>NO</v>
      </c>
      <c r="P102" s="35">
        <f>IF(Tabla2__2[[#This Row],[RTA]]=Tabla2__2[[#This Row],[RTA CORRECTA]],Tabla2__2[[#This Row],[TOTAL PUNTAJE]],0)</f>
        <v>1.5</v>
      </c>
      <c r="Q102" s="35">
        <f>IF(OR(H102="Dog Chow húmedo",H102="Cat Chow húmedo",H102="Fancy Feast",H102="Felix",H102="Proplan húmedo",H102="One húmedo",H102="Snack Abrazzos",H102="Snak Dentalife",H102="Arenilla Tidy Cat"),N102,0)</f>
        <v>0</v>
      </c>
      <c r="R102" s="35"/>
    </row>
    <row r="103" spans="1:18" x14ac:dyDescent="0.35">
      <c r="A103" s="35" t="s">
        <v>95</v>
      </c>
      <c r="B103" s="35" t="s">
        <v>8</v>
      </c>
      <c r="C103" t="s">
        <v>14</v>
      </c>
      <c r="D103" s="35" t="s">
        <v>142</v>
      </c>
      <c r="E103" s="35">
        <v>424858</v>
      </c>
      <c r="F103" s="35" t="s">
        <v>151</v>
      </c>
      <c r="G103" s="35" t="s">
        <v>92</v>
      </c>
      <c r="H103" s="35" t="s">
        <v>94</v>
      </c>
      <c r="I103" s="36"/>
      <c r="J103" s="35">
        <v>30182843</v>
      </c>
      <c r="K103" s="35" t="s">
        <v>98</v>
      </c>
      <c r="L103" s="35" t="str">
        <f>_xlfn.XLOOKUP(Tabla2__2[[#This Row],[CODIGO RUTA]],'DATA INFORME'!I:I,'DATA INFORME'!K:K)</f>
        <v>SI</v>
      </c>
      <c r="M103" s="35" t="str">
        <f>IF(Tabla2__2[[#This Row],[MYSTERY EFECTIVO]]="SI",_xlfn.XLOOKUP(Tabla2__2[[#This Row],[PREGUNTA]],ENCUESTA!G:G,ENCUESTA!D:D),"N/A")</f>
        <v>UNIFORME</v>
      </c>
      <c r="N1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3" s="35" t="str">
        <f>_xlfn.XLOOKUP(Tabla2__2[[#This Row],[PREGUNTA]],ENCUESTA!G:G,ENCUESTA!H:H)</f>
        <v>NO</v>
      </c>
      <c r="P103" s="35">
        <f>IF(Tabla2__2[[#This Row],[RTA]]=Tabla2__2[[#This Row],[RTA CORRECTA]],Tabla2__2[[#This Row],[TOTAL PUNTAJE]],0)</f>
        <v>1.5</v>
      </c>
      <c r="Q103" s="35">
        <f>IF(OR(H103="Dog Chow húmedo",H103="Cat Chow húmedo",H103="Fancy Feast",H103="Felix",H103="Proplan húmedo",H103="One húmedo",H103="Snack Abrazzos",H103="Snak Dentalife",H103="Arenilla Tidy Cat"),N103,0)</f>
        <v>0</v>
      </c>
      <c r="R103" s="35"/>
    </row>
    <row r="104" spans="1:18" x14ac:dyDescent="0.35">
      <c r="A104" s="35" t="s">
        <v>95</v>
      </c>
      <c r="B104" s="35" t="s">
        <v>8</v>
      </c>
      <c r="C104" t="s">
        <v>14</v>
      </c>
      <c r="D104" s="35" t="s">
        <v>142</v>
      </c>
      <c r="E104" s="35">
        <v>424858</v>
      </c>
      <c r="F104" s="35" t="s">
        <v>151</v>
      </c>
      <c r="G104" s="35" t="s">
        <v>93</v>
      </c>
      <c r="H104" s="35" t="s">
        <v>94</v>
      </c>
      <c r="I104" s="36"/>
      <c r="J104" s="35">
        <v>30182843</v>
      </c>
      <c r="K104" s="35" t="s">
        <v>98</v>
      </c>
      <c r="L104" s="35" t="str">
        <f>_xlfn.XLOOKUP(Tabla2__2[[#This Row],[CODIGO RUTA]],'DATA INFORME'!I:I,'DATA INFORME'!K:K)</f>
        <v>SI</v>
      </c>
      <c r="M104" s="35" t="str">
        <f>IF(Tabla2__2[[#This Row],[MYSTERY EFECTIVO]]="SI",_xlfn.XLOOKUP(Tabla2__2[[#This Row],[PREGUNTA]],ENCUESTA!G:G,ENCUESTA!D:D),"N/A")</f>
        <v>UNIFORME</v>
      </c>
      <c r="N1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4" s="35" t="str">
        <f>_xlfn.XLOOKUP(Tabla2__2[[#This Row],[PREGUNTA]],ENCUESTA!G:G,ENCUESTA!H:H)</f>
        <v>NO</v>
      </c>
      <c r="P104" s="35">
        <f>IF(Tabla2__2[[#This Row],[RTA]]=Tabla2__2[[#This Row],[RTA CORRECTA]],Tabla2__2[[#This Row],[TOTAL PUNTAJE]],0)</f>
        <v>1.5</v>
      </c>
      <c r="Q104" s="35">
        <f>IF(OR(H104="Dog Chow húmedo",H104="Cat Chow húmedo",H104="Fancy Feast",H104="Felix",H104="Proplan húmedo",H104="One húmedo",H104="Snack Abrazzos",H104="Snak Dentalife",H104="Arenilla Tidy Cat"),N104,0)</f>
        <v>0</v>
      </c>
      <c r="R104" s="35"/>
    </row>
    <row r="105" spans="1:18" x14ac:dyDescent="0.35">
      <c r="A105" s="35" t="s">
        <v>95</v>
      </c>
      <c r="B105" s="35" t="s">
        <v>8</v>
      </c>
      <c r="C105" t="s">
        <v>14</v>
      </c>
      <c r="D105" s="35" t="s">
        <v>142</v>
      </c>
      <c r="E105" s="35">
        <v>424858</v>
      </c>
      <c r="F105" s="35" t="s">
        <v>151</v>
      </c>
      <c r="G105" s="35" t="s">
        <v>129</v>
      </c>
      <c r="H105" s="35" t="s">
        <v>20</v>
      </c>
      <c r="I105" s="36"/>
      <c r="J105" s="35">
        <v>30182843</v>
      </c>
      <c r="K105" s="35" t="s">
        <v>98</v>
      </c>
      <c r="L105" s="35" t="str">
        <f>_xlfn.XLOOKUP(Tabla2__2[[#This Row],[CODIGO RUTA]],'DATA INFORME'!I:I,'DATA INFORME'!K:K)</f>
        <v>SI</v>
      </c>
      <c r="M105" s="35" t="str">
        <f>IF(Tabla2__2[[#This Row],[MYSTERY EFECTIVO]]="SI",_xlfn.XLOOKUP(Tabla2__2[[#This Row],[PREGUNTA]],ENCUESTA!G:G,ENCUESTA!D:D),"N/A")</f>
        <v>ABORDAJE</v>
      </c>
      <c r="N1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05" s="35" t="str">
        <f>_xlfn.XLOOKUP(Tabla2__2[[#This Row],[PREGUNTA]],ENCUESTA!G:G,ENCUESTA!H:H)</f>
        <v>SI</v>
      </c>
      <c r="P105" s="35">
        <f>IF(Tabla2__2[[#This Row],[RTA]]=Tabla2__2[[#This Row],[RTA CORRECTA]],Tabla2__2[[#This Row],[TOTAL PUNTAJE]],0)</f>
        <v>20</v>
      </c>
      <c r="Q105" s="35">
        <f>IF(OR(H105="Dog Chow húmedo",H105="Cat Chow húmedo",H105="Fancy Feast",H105="Felix",H105="Proplan húmedo",H105="One húmedo",H105="Snack Abrazzos",H105="Snak Dentalife",H105="Arenilla Tidy Cat"),N105,0)</f>
        <v>0</v>
      </c>
      <c r="R105" s="35"/>
    </row>
    <row r="106" spans="1:18" x14ac:dyDescent="0.35">
      <c r="A106" s="35" t="s">
        <v>95</v>
      </c>
      <c r="B106" s="35" t="s">
        <v>8</v>
      </c>
      <c r="C106" t="s">
        <v>14</v>
      </c>
      <c r="D106" s="35" t="s">
        <v>142</v>
      </c>
      <c r="E106" s="35">
        <v>424858</v>
      </c>
      <c r="F106" s="35" t="s">
        <v>151</v>
      </c>
      <c r="G106" s="35" t="s">
        <v>121</v>
      </c>
      <c r="H106" s="35" t="s">
        <v>20</v>
      </c>
      <c r="I106" s="36"/>
      <c r="J106" s="35">
        <v>30182843</v>
      </c>
      <c r="K106" s="35" t="s">
        <v>98</v>
      </c>
      <c r="L106" s="35" t="str">
        <f>_xlfn.XLOOKUP(Tabla2__2[[#This Row],[CODIGO RUTA]],'DATA INFORME'!I:I,'DATA INFORME'!K:K)</f>
        <v>SI</v>
      </c>
      <c r="M106" s="35" t="str">
        <f>IF(Tabla2__2[[#This Row],[MYSTERY EFECTIVO]]="SI",_xlfn.XLOOKUP(Tabla2__2[[#This Row],[PREGUNTA]],ENCUESTA!G:G,ENCUESTA!D:D),"N/A")</f>
        <v>PORTAFOLIO Y MANEJO DE OBJECIONES</v>
      </c>
      <c r="N1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06" s="35" t="str">
        <f>_xlfn.XLOOKUP(Tabla2__2[[#This Row],[PREGUNTA]],ENCUESTA!G:G,ENCUESTA!H:H)</f>
        <v>SI</v>
      </c>
      <c r="P106" s="35">
        <f>IF(Tabla2__2[[#This Row],[RTA]]=Tabla2__2[[#This Row],[RTA CORRECTA]],Tabla2__2[[#This Row],[TOTAL PUNTAJE]],0)</f>
        <v>6</v>
      </c>
      <c r="Q106" s="35">
        <f>IF(OR(H106="Dog Chow húmedo",H106="Cat Chow húmedo",H106="Fancy Feast",H106="Felix",H106="Proplan húmedo",H106="One húmedo",H106="Snack Abrazzos",H106="Snak Dentalife",H106="Arenilla Tidy Cat"),N106,0)</f>
        <v>0</v>
      </c>
      <c r="R106" s="35"/>
    </row>
    <row r="107" spans="1:18" x14ac:dyDescent="0.35">
      <c r="A107" s="35" t="s">
        <v>95</v>
      </c>
      <c r="B107" s="35" t="s">
        <v>8</v>
      </c>
      <c r="C107" t="s">
        <v>14</v>
      </c>
      <c r="D107" s="35" t="s">
        <v>142</v>
      </c>
      <c r="E107" s="35">
        <v>424858</v>
      </c>
      <c r="F107" s="35" t="s">
        <v>151</v>
      </c>
      <c r="G107" s="35" t="s">
        <v>131</v>
      </c>
      <c r="H107" s="35" t="s">
        <v>20</v>
      </c>
      <c r="I107" s="36"/>
      <c r="J107" s="35">
        <v>30182843</v>
      </c>
      <c r="K107" s="35" t="s">
        <v>98</v>
      </c>
      <c r="L107" s="35" t="str">
        <f>_xlfn.XLOOKUP(Tabla2__2[[#This Row],[CODIGO RUTA]],'DATA INFORME'!I:I,'DATA INFORME'!K:K)</f>
        <v>SI</v>
      </c>
      <c r="M107" s="35" t="str">
        <f>IF(Tabla2__2[[#This Row],[MYSTERY EFECTIVO]]="SI",_xlfn.XLOOKUP(Tabla2__2[[#This Row],[PREGUNTA]],ENCUESTA!G:G,ENCUESTA!D:D),"N/A")</f>
        <v>PORTAFOLIO Y MANEJO DE OBJECIONES</v>
      </c>
      <c r="N1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07" s="35" t="str">
        <f>_xlfn.XLOOKUP(Tabla2__2[[#This Row],[PREGUNTA]],ENCUESTA!G:G,ENCUESTA!H:H)</f>
        <v>SI</v>
      </c>
      <c r="P107" s="35">
        <f>IF(Tabla2__2[[#This Row],[RTA]]=Tabla2__2[[#This Row],[RTA CORRECTA]],Tabla2__2[[#This Row],[TOTAL PUNTAJE]],0)</f>
        <v>6</v>
      </c>
      <c r="Q107" s="35">
        <f>IF(OR(H107="Dog Chow húmedo",H107="Cat Chow húmedo",H107="Fancy Feast",H107="Felix",H107="Proplan húmedo",H107="One húmedo",H107="Snack Abrazzos",H107="Snak Dentalife",H107="Arenilla Tidy Cat"),N107,0)</f>
        <v>0</v>
      </c>
      <c r="R107" s="35"/>
    </row>
    <row r="108" spans="1:18" x14ac:dyDescent="0.35">
      <c r="A108" s="35" t="s">
        <v>95</v>
      </c>
      <c r="B108" s="35" t="s">
        <v>8</v>
      </c>
      <c r="C108" t="s">
        <v>14</v>
      </c>
      <c r="D108" s="35" t="s">
        <v>142</v>
      </c>
      <c r="E108" s="35">
        <v>424858</v>
      </c>
      <c r="F108" s="35" t="s">
        <v>151</v>
      </c>
      <c r="G108" s="35" t="s">
        <v>112</v>
      </c>
      <c r="H108" s="35" t="s">
        <v>14</v>
      </c>
      <c r="I108" s="36"/>
      <c r="J108" s="35">
        <v>30182843</v>
      </c>
      <c r="K108" s="35" t="s">
        <v>98</v>
      </c>
      <c r="L108" s="35" t="str">
        <f>_xlfn.XLOOKUP(Tabla2__2[[#This Row],[CODIGO RUTA]],'DATA INFORME'!I:I,'DATA INFORME'!K:K)</f>
        <v>SI</v>
      </c>
      <c r="M108" s="35" t="str">
        <f>IF(Tabla2__2[[#This Row],[MYSTERY EFECTIVO]]="SI",_xlfn.XLOOKUP(Tabla2__2[[#This Row],[PREGUNTA]],ENCUESTA!G:G,ENCUESTA!D:D),"N/A")</f>
        <v>N/A</v>
      </c>
      <c r="N1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8" s="35">
        <f>_xlfn.XLOOKUP(Tabla2__2[[#This Row],[PREGUNTA]],ENCUESTA!G:G,ENCUESTA!H:H)</f>
        <v>0</v>
      </c>
      <c r="P108" s="35">
        <f>IF(Tabla2__2[[#This Row],[RTA]]=Tabla2__2[[#This Row],[RTA CORRECTA]],Tabla2__2[[#This Row],[TOTAL PUNTAJE]],0)</f>
        <v>0</v>
      </c>
      <c r="Q108" s="35">
        <f>IF(OR(H108="Dog Chow húmedo",H108="Cat Chow húmedo",H108="Fancy Feast",H108="Felix",H108="Proplan húmedo",H108="One húmedo",H108="Snack Abrazzos",H108="Snak Dentalife",H108="Arenilla Tidy Cat"),N108,0)</f>
        <v>0</v>
      </c>
      <c r="R108" s="35"/>
    </row>
    <row r="109" spans="1:18" x14ac:dyDescent="0.35">
      <c r="A109" s="35" t="s">
        <v>95</v>
      </c>
      <c r="B109" s="35" t="s">
        <v>100</v>
      </c>
      <c r="C109" t="s">
        <v>41</v>
      </c>
      <c r="D109" s="35" t="s">
        <v>101</v>
      </c>
      <c r="E109" s="35">
        <v>66552</v>
      </c>
      <c r="F109" s="35" t="s">
        <v>158</v>
      </c>
      <c r="G109" s="35" t="s">
        <v>88</v>
      </c>
      <c r="H109" s="35" t="s">
        <v>20</v>
      </c>
      <c r="I109" s="36"/>
      <c r="J109" s="35">
        <v>30189338</v>
      </c>
      <c r="K109" s="35" t="s">
        <v>164</v>
      </c>
      <c r="L109" s="35" t="str">
        <f>_xlfn.XLOOKUP(Tabla2__2[[#This Row],[CODIGO RUTA]],'DATA INFORME'!I:I,'DATA INFORME'!K:K)</f>
        <v>SI</v>
      </c>
      <c r="M109" s="35" t="str">
        <f>IF(Tabla2__2[[#This Row],[MYSTERY EFECTIVO]]="SI",_xlfn.XLOOKUP(Tabla2__2[[#This Row],[PREGUNTA]],ENCUESTA!G:G,ENCUESTA!D:D),"N/A")</f>
        <v>UNIFORME</v>
      </c>
      <c r="N1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9" s="35" t="str">
        <f>_xlfn.XLOOKUP(Tabla2__2[[#This Row],[PREGUNTA]],ENCUESTA!G:G,ENCUESTA!H:H)</f>
        <v>SI</v>
      </c>
      <c r="P109" s="35">
        <f>IF(Tabla2__2[[#This Row],[RTA]]=Tabla2__2[[#This Row],[RTA CORRECTA]],Tabla2__2[[#This Row],[TOTAL PUNTAJE]],0)</f>
        <v>1.5</v>
      </c>
      <c r="Q109" s="35">
        <f>IF(OR(H109="Dog Chow húmedo",H109="Cat Chow húmedo",H109="Fancy Feast",H109="Felix",H109="Proplan húmedo",H109="One húmedo",H109="Snack Abrazzos",H109="Snak Dentalife",H109="Arenilla Tidy Cat"),N109,0)</f>
        <v>0</v>
      </c>
      <c r="R109" s="35"/>
    </row>
    <row r="110" spans="1:18" x14ac:dyDescent="0.35">
      <c r="A110" s="35" t="s">
        <v>95</v>
      </c>
      <c r="B110" s="35" t="s">
        <v>84</v>
      </c>
      <c r="C110" t="s">
        <v>14</v>
      </c>
      <c r="D110" s="35" t="s">
        <v>85</v>
      </c>
      <c r="E110" s="35">
        <v>421609</v>
      </c>
      <c r="F110" s="35" t="s">
        <v>181</v>
      </c>
      <c r="G110" s="35" t="s">
        <v>116</v>
      </c>
      <c r="H110" s="35" t="s">
        <v>20</v>
      </c>
      <c r="I110" s="36"/>
      <c r="J110" s="35">
        <v>30281524</v>
      </c>
      <c r="K110" s="35" t="s">
        <v>104</v>
      </c>
      <c r="L110" s="35" t="str">
        <f>_xlfn.XLOOKUP(Tabla2__2[[#This Row],[CODIGO RUTA]],'DATA INFORME'!I:I,'DATA INFORME'!K:K)</f>
        <v>SI</v>
      </c>
      <c r="M110" s="35" t="str">
        <f>IF(Tabla2__2[[#This Row],[MYSTERY EFECTIVO]]="SI",_xlfn.XLOOKUP(Tabla2__2[[#This Row],[PREGUNTA]],ENCUESTA!G:G,ENCUESTA!D:D),"N/A")</f>
        <v>LABOR DE VENTA</v>
      </c>
      <c r="N1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10" s="35" t="str">
        <f>_xlfn.XLOOKUP(Tabla2__2[[#This Row],[PREGUNTA]],ENCUESTA!G:G,ENCUESTA!H:H)</f>
        <v>SI</v>
      </c>
      <c r="P110" s="35">
        <f>IF(Tabla2__2[[#This Row],[RTA]]=Tabla2__2[[#This Row],[RTA CORRECTA]],Tabla2__2[[#This Row],[TOTAL PUNTAJE]],0)</f>
        <v>3.75</v>
      </c>
      <c r="Q110" s="35">
        <f>IF(OR(H110="Dog Chow húmedo",H110="Cat Chow húmedo",H110="Fancy Feast",H110="Felix",H110="Proplan húmedo",H110="One húmedo",H110="Snack Abrazzos",H110="Snak Dentalife",H110="Arenilla Tidy Cat"),N110,0)</f>
        <v>0</v>
      </c>
      <c r="R110" s="35"/>
    </row>
    <row r="111" spans="1:18" x14ac:dyDescent="0.35">
      <c r="A111" s="35" t="s">
        <v>95</v>
      </c>
      <c r="B111" s="35" t="s">
        <v>100</v>
      </c>
      <c r="C111" t="s">
        <v>41</v>
      </c>
      <c r="D111" s="35" t="s">
        <v>101</v>
      </c>
      <c r="E111" s="35">
        <v>66552</v>
      </c>
      <c r="F111" s="35" t="s">
        <v>158</v>
      </c>
      <c r="G111" s="35" t="s">
        <v>89</v>
      </c>
      <c r="H111" s="35" t="s">
        <v>20</v>
      </c>
      <c r="I111" s="36"/>
      <c r="J111" s="35">
        <v>30189338</v>
      </c>
      <c r="K111" s="35" t="s">
        <v>164</v>
      </c>
      <c r="L111" s="35" t="str">
        <f>_xlfn.XLOOKUP(Tabla2__2[[#This Row],[CODIGO RUTA]],'DATA INFORME'!I:I,'DATA INFORME'!K:K)</f>
        <v>SI</v>
      </c>
      <c r="M111" s="35" t="str">
        <f>IF(Tabla2__2[[#This Row],[MYSTERY EFECTIVO]]="SI",_xlfn.XLOOKUP(Tabla2__2[[#This Row],[PREGUNTA]],ENCUESTA!G:G,ENCUESTA!D:D),"N/A")</f>
        <v>UNIFORME</v>
      </c>
      <c r="N1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1" s="35" t="str">
        <f>_xlfn.XLOOKUP(Tabla2__2[[#This Row],[PREGUNTA]],ENCUESTA!G:G,ENCUESTA!H:H)</f>
        <v>SI</v>
      </c>
      <c r="P111" s="35">
        <f>IF(Tabla2__2[[#This Row],[RTA]]=Tabla2__2[[#This Row],[RTA CORRECTA]],Tabla2__2[[#This Row],[TOTAL PUNTAJE]],0)</f>
        <v>1.5</v>
      </c>
      <c r="Q111" s="35">
        <f>IF(OR(H111="Dog Chow húmedo",H111="Cat Chow húmedo",H111="Fancy Feast",H111="Felix",H111="Proplan húmedo",H111="One húmedo",H111="Snack Abrazzos",H111="Snak Dentalife",H111="Arenilla Tidy Cat"),N111,0)</f>
        <v>0</v>
      </c>
      <c r="R111" s="35"/>
    </row>
    <row r="112" spans="1:18" x14ac:dyDescent="0.35">
      <c r="A112" s="35" t="s">
        <v>95</v>
      </c>
      <c r="B112" s="35" t="s">
        <v>100</v>
      </c>
      <c r="C112" t="s">
        <v>41</v>
      </c>
      <c r="D112" s="35" t="s">
        <v>101</v>
      </c>
      <c r="E112" s="35">
        <v>66552</v>
      </c>
      <c r="F112" s="35" t="s">
        <v>158</v>
      </c>
      <c r="G112" s="35" t="s">
        <v>91</v>
      </c>
      <c r="H112" s="35" t="s">
        <v>94</v>
      </c>
      <c r="I112" s="36"/>
      <c r="J112" s="35">
        <v>30189338</v>
      </c>
      <c r="K112" s="35" t="s">
        <v>164</v>
      </c>
      <c r="L112" s="35" t="str">
        <f>_xlfn.XLOOKUP(Tabla2__2[[#This Row],[CODIGO RUTA]],'DATA INFORME'!I:I,'DATA INFORME'!K:K)</f>
        <v>SI</v>
      </c>
      <c r="M112" s="35" t="str">
        <f>IF(Tabla2__2[[#This Row],[MYSTERY EFECTIVO]]="SI",_xlfn.XLOOKUP(Tabla2__2[[#This Row],[PREGUNTA]],ENCUESTA!G:G,ENCUESTA!D:D),"N/A")</f>
        <v>UNIFORME</v>
      </c>
      <c r="N1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2" s="35" t="str">
        <f>_xlfn.XLOOKUP(Tabla2__2[[#This Row],[PREGUNTA]],ENCUESTA!G:G,ENCUESTA!H:H)</f>
        <v>NO</v>
      </c>
      <c r="P112" s="35">
        <f>IF(Tabla2__2[[#This Row],[RTA]]=Tabla2__2[[#This Row],[RTA CORRECTA]],Tabla2__2[[#This Row],[TOTAL PUNTAJE]],0)</f>
        <v>1.5</v>
      </c>
      <c r="Q112" s="35">
        <f>IF(OR(H112="Dog Chow húmedo",H112="Cat Chow húmedo",H112="Fancy Feast",H112="Felix",H112="Proplan húmedo",H112="One húmedo",H112="Snack Abrazzos",H112="Snak Dentalife",H112="Arenilla Tidy Cat"),N112,0)</f>
        <v>0</v>
      </c>
      <c r="R112" s="35"/>
    </row>
    <row r="113" spans="1:18" x14ac:dyDescent="0.35">
      <c r="A113" s="35" t="s">
        <v>95</v>
      </c>
      <c r="B113" s="35" t="s">
        <v>100</v>
      </c>
      <c r="C113" t="s">
        <v>14</v>
      </c>
      <c r="D113" s="35" t="s">
        <v>101</v>
      </c>
      <c r="E113" s="35">
        <v>424808</v>
      </c>
      <c r="F113" s="35" t="s">
        <v>168</v>
      </c>
      <c r="G113" s="35" t="s">
        <v>35</v>
      </c>
      <c r="H113" s="35" t="s">
        <v>20</v>
      </c>
      <c r="I113" s="36"/>
      <c r="J113" s="35">
        <v>30231329</v>
      </c>
      <c r="K113" s="35" t="s">
        <v>164</v>
      </c>
      <c r="L113" s="35" t="str">
        <f>_xlfn.XLOOKUP(Tabla2__2[[#This Row],[CODIGO RUTA]],'DATA INFORME'!I:I,'DATA INFORME'!K:K)</f>
        <v>SI</v>
      </c>
      <c r="M113" s="35" t="str">
        <f>IF(Tabla2__2[[#This Row],[MYSTERY EFECTIVO]]="SI",_xlfn.XLOOKUP(Tabla2__2[[#This Row],[PREGUNTA]],ENCUESTA!G:G,ENCUESTA!D:D),"N/A")</f>
        <v>UNIFORME</v>
      </c>
      <c r="N1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3" s="35" t="str">
        <f>_xlfn.XLOOKUP(Tabla2__2[[#This Row],[PREGUNTA]],ENCUESTA!G:G,ENCUESTA!H:H)</f>
        <v>SI</v>
      </c>
      <c r="P113" s="35">
        <f>IF(Tabla2__2[[#This Row],[RTA]]=Tabla2__2[[#This Row],[RTA CORRECTA]],Tabla2__2[[#This Row],[TOTAL PUNTAJE]],0)</f>
        <v>1.5</v>
      </c>
      <c r="Q113" s="35">
        <f>IF(OR(H113="Dog Chow húmedo",H113="Cat Chow húmedo",H113="Fancy Feast",H113="Felix",H113="Proplan húmedo",H113="One húmedo",H113="Snack Abrazzos",H113="Snak Dentalife",H113="Arenilla Tidy Cat"),N113,0)</f>
        <v>0</v>
      </c>
      <c r="R113" s="35"/>
    </row>
    <row r="114" spans="1:18" x14ac:dyDescent="0.35">
      <c r="A114" s="35" t="s">
        <v>95</v>
      </c>
      <c r="B114" s="35" t="s">
        <v>100</v>
      </c>
      <c r="C114" t="s">
        <v>14</v>
      </c>
      <c r="D114" s="35" t="s">
        <v>101</v>
      </c>
      <c r="E114" s="35">
        <v>424808</v>
      </c>
      <c r="F114" s="35" t="s">
        <v>168</v>
      </c>
      <c r="G114" s="35" t="s">
        <v>111</v>
      </c>
      <c r="H114" s="35" t="s">
        <v>94</v>
      </c>
      <c r="I114" s="36"/>
      <c r="J114" s="35">
        <v>30231329</v>
      </c>
      <c r="K114" s="35" t="s">
        <v>164</v>
      </c>
      <c r="L114" s="35" t="str">
        <f>_xlfn.XLOOKUP(Tabla2__2[[#This Row],[CODIGO RUTA]],'DATA INFORME'!I:I,'DATA INFORME'!K:K)</f>
        <v>SI</v>
      </c>
      <c r="M114" s="35" t="str">
        <f>IF(Tabla2__2[[#This Row],[MYSTERY EFECTIVO]]="SI",_xlfn.XLOOKUP(Tabla2__2[[#This Row],[PREGUNTA]],ENCUESTA!G:G,ENCUESTA!D:D),"N/A")</f>
        <v>UNIFORME</v>
      </c>
      <c r="N1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4" s="35" t="str">
        <f>_xlfn.XLOOKUP(Tabla2__2[[#This Row],[PREGUNTA]],ENCUESTA!G:G,ENCUESTA!H:H)</f>
        <v>NO</v>
      </c>
      <c r="P114" s="35">
        <f>IF(Tabla2__2[[#This Row],[RTA]]=Tabla2__2[[#This Row],[RTA CORRECTA]],Tabla2__2[[#This Row],[TOTAL PUNTAJE]],0)</f>
        <v>1.5</v>
      </c>
      <c r="Q114" s="35">
        <f>IF(OR(H114="Dog Chow húmedo",H114="Cat Chow húmedo",H114="Fancy Feast",H114="Felix",H114="Proplan húmedo",H114="One húmedo",H114="Snack Abrazzos",H114="Snak Dentalife",H114="Arenilla Tidy Cat"),N114,0)</f>
        <v>0</v>
      </c>
      <c r="R114" s="35"/>
    </row>
    <row r="115" spans="1:18" x14ac:dyDescent="0.35">
      <c r="A115" s="35" t="s">
        <v>95</v>
      </c>
      <c r="B115" s="35" t="s">
        <v>100</v>
      </c>
      <c r="C115" t="s">
        <v>14</v>
      </c>
      <c r="D115" s="35" t="s">
        <v>101</v>
      </c>
      <c r="E115" s="35">
        <v>424808</v>
      </c>
      <c r="F115" s="35" t="s">
        <v>168</v>
      </c>
      <c r="G115" s="35" t="s">
        <v>88</v>
      </c>
      <c r="H115" s="35" t="s">
        <v>20</v>
      </c>
      <c r="I115" s="36"/>
      <c r="J115" s="35">
        <v>30231329</v>
      </c>
      <c r="K115" s="35" t="s">
        <v>164</v>
      </c>
      <c r="L115" s="35" t="str">
        <f>_xlfn.XLOOKUP(Tabla2__2[[#This Row],[CODIGO RUTA]],'DATA INFORME'!I:I,'DATA INFORME'!K:K)</f>
        <v>SI</v>
      </c>
      <c r="M115" s="35" t="str">
        <f>IF(Tabla2__2[[#This Row],[MYSTERY EFECTIVO]]="SI",_xlfn.XLOOKUP(Tabla2__2[[#This Row],[PREGUNTA]],ENCUESTA!G:G,ENCUESTA!D:D),"N/A")</f>
        <v>UNIFORME</v>
      </c>
      <c r="N1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5" s="35" t="str">
        <f>_xlfn.XLOOKUP(Tabla2__2[[#This Row],[PREGUNTA]],ENCUESTA!G:G,ENCUESTA!H:H)</f>
        <v>SI</v>
      </c>
      <c r="P115" s="35">
        <f>IF(Tabla2__2[[#This Row],[RTA]]=Tabla2__2[[#This Row],[RTA CORRECTA]],Tabla2__2[[#This Row],[TOTAL PUNTAJE]],0)</f>
        <v>1.5</v>
      </c>
      <c r="Q115" s="35">
        <f>IF(OR(H115="Dog Chow húmedo",H115="Cat Chow húmedo",H115="Fancy Feast",H115="Felix",H115="Proplan húmedo",H115="One húmedo",H115="Snack Abrazzos",H115="Snak Dentalife",H115="Arenilla Tidy Cat"),N115,0)</f>
        <v>0</v>
      </c>
      <c r="R115" s="35"/>
    </row>
    <row r="116" spans="1:18" x14ac:dyDescent="0.35">
      <c r="A116" s="35" t="s">
        <v>95</v>
      </c>
      <c r="B116" s="35" t="s">
        <v>100</v>
      </c>
      <c r="C116" t="s">
        <v>14</v>
      </c>
      <c r="D116" s="35" t="s">
        <v>101</v>
      </c>
      <c r="E116" s="35">
        <v>424808</v>
      </c>
      <c r="F116" s="35" t="s">
        <v>168</v>
      </c>
      <c r="G116" s="35" t="s">
        <v>89</v>
      </c>
      <c r="H116" s="35" t="s">
        <v>20</v>
      </c>
      <c r="I116" s="36"/>
      <c r="J116" s="35">
        <v>30231329</v>
      </c>
      <c r="K116" s="35" t="s">
        <v>164</v>
      </c>
      <c r="L116" s="35" t="str">
        <f>_xlfn.XLOOKUP(Tabla2__2[[#This Row],[CODIGO RUTA]],'DATA INFORME'!I:I,'DATA INFORME'!K:K)</f>
        <v>SI</v>
      </c>
      <c r="M116" s="35" t="str">
        <f>IF(Tabla2__2[[#This Row],[MYSTERY EFECTIVO]]="SI",_xlfn.XLOOKUP(Tabla2__2[[#This Row],[PREGUNTA]],ENCUESTA!G:G,ENCUESTA!D:D),"N/A")</f>
        <v>UNIFORME</v>
      </c>
      <c r="N1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6" s="35" t="str">
        <f>_xlfn.XLOOKUP(Tabla2__2[[#This Row],[PREGUNTA]],ENCUESTA!G:G,ENCUESTA!H:H)</f>
        <v>SI</v>
      </c>
      <c r="P116" s="35">
        <f>IF(Tabla2__2[[#This Row],[RTA]]=Tabla2__2[[#This Row],[RTA CORRECTA]],Tabla2__2[[#This Row],[TOTAL PUNTAJE]],0)</f>
        <v>1.5</v>
      </c>
      <c r="Q116" s="35">
        <f>IF(OR(H116="Dog Chow húmedo",H116="Cat Chow húmedo",H116="Fancy Feast",H116="Felix",H116="Proplan húmedo",H116="One húmedo",H116="Snack Abrazzos",H116="Snak Dentalife",H116="Arenilla Tidy Cat"),N116,0)</f>
        <v>0</v>
      </c>
      <c r="R116" s="35"/>
    </row>
    <row r="117" spans="1:18" x14ac:dyDescent="0.35">
      <c r="A117" s="35" t="s">
        <v>95</v>
      </c>
      <c r="B117" s="35" t="s">
        <v>100</v>
      </c>
      <c r="C117" t="s">
        <v>14</v>
      </c>
      <c r="D117" s="35" t="s">
        <v>101</v>
      </c>
      <c r="E117" s="35">
        <v>424808</v>
      </c>
      <c r="F117" s="35" t="s">
        <v>168</v>
      </c>
      <c r="G117" s="35" t="s">
        <v>90</v>
      </c>
      <c r="H117" s="35" t="s">
        <v>94</v>
      </c>
      <c r="I117" s="36"/>
      <c r="J117" s="35">
        <v>30231329</v>
      </c>
      <c r="K117" s="35" t="s">
        <v>164</v>
      </c>
      <c r="L117" s="35" t="str">
        <f>_xlfn.XLOOKUP(Tabla2__2[[#This Row],[CODIGO RUTA]],'DATA INFORME'!I:I,'DATA INFORME'!K:K)</f>
        <v>SI</v>
      </c>
      <c r="M117" s="35" t="str">
        <f>IF(Tabla2__2[[#This Row],[MYSTERY EFECTIVO]]="SI",_xlfn.XLOOKUP(Tabla2__2[[#This Row],[PREGUNTA]],ENCUESTA!G:G,ENCUESTA!D:D),"N/A")</f>
        <v>UNIFORME</v>
      </c>
      <c r="N1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7" s="35" t="str">
        <f>_xlfn.XLOOKUP(Tabla2__2[[#This Row],[PREGUNTA]],ENCUESTA!G:G,ENCUESTA!H:H)</f>
        <v>NO</v>
      </c>
      <c r="P117" s="35">
        <f>IF(Tabla2__2[[#This Row],[RTA]]=Tabla2__2[[#This Row],[RTA CORRECTA]],Tabla2__2[[#This Row],[TOTAL PUNTAJE]],0)</f>
        <v>1.5</v>
      </c>
      <c r="Q117" s="35">
        <f>IF(OR(H117="Dog Chow húmedo",H117="Cat Chow húmedo",H117="Fancy Feast",H117="Felix",H117="Proplan húmedo",H117="One húmedo",H117="Snack Abrazzos",H117="Snak Dentalife",H117="Arenilla Tidy Cat"),N117,0)</f>
        <v>0</v>
      </c>
      <c r="R117" s="35"/>
    </row>
    <row r="118" spans="1:18" x14ac:dyDescent="0.35">
      <c r="A118" s="35" t="s">
        <v>95</v>
      </c>
      <c r="B118" s="35" t="s">
        <v>100</v>
      </c>
      <c r="C118" t="s">
        <v>14</v>
      </c>
      <c r="D118" s="35" t="s">
        <v>101</v>
      </c>
      <c r="E118" s="35">
        <v>424808</v>
      </c>
      <c r="F118" s="35" t="s">
        <v>168</v>
      </c>
      <c r="G118" s="35" t="s">
        <v>91</v>
      </c>
      <c r="H118" s="35" t="s">
        <v>94</v>
      </c>
      <c r="I118" s="36"/>
      <c r="J118" s="35">
        <v>30231329</v>
      </c>
      <c r="K118" s="35" t="s">
        <v>164</v>
      </c>
      <c r="L118" s="35" t="str">
        <f>_xlfn.XLOOKUP(Tabla2__2[[#This Row],[CODIGO RUTA]],'DATA INFORME'!I:I,'DATA INFORME'!K:K)</f>
        <v>SI</v>
      </c>
      <c r="M118" s="35" t="str">
        <f>IF(Tabla2__2[[#This Row],[MYSTERY EFECTIVO]]="SI",_xlfn.XLOOKUP(Tabla2__2[[#This Row],[PREGUNTA]],ENCUESTA!G:G,ENCUESTA!D:D),"N/A")</f>
        <v>UNIFORME</v>
      </c>
      <c r="N1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8" s="35" t="str">
        <f>_xlfn.XLOOKUP(Tabla2__2[[#This Row],[PREGUNTA]],ENCUESTA!G:G,ENCUESTA!H:H)</f>
        <v>NO</v>
      </c>
      <c r="P118" s="35">
        <f>IF(Tabla2__2[[#This Row],[RTA]]=Tabla2__2[[#This Row],[RTA CORRECTA]],Tabla2__2[[#This Row],[TOTAL PUNTAJE]],0)</f>
        <v>1.5</v>
      </c>
      <c r="Q118" s="35">
        <f>IF(OR(H118="Dog Chow húmedo",H118="Cat Chow húmedo",H118="Fancy Feast",H118="Felix",H118="Proplan húmedo",H118="One húmedo",H118="Snack Abrazzos",H118="Snak Dentalife",H118="Arenilla Tidy Cat"),N118,0)</f>
        <v>0</v>
      </c>
      <c r="R118" s="35"/>
    </row>
    <row r="119" spans="1:18" x14ac:dyDescent="0.35">
      <c r="A119" s="35" t="s">
        <v>95</v>
      </c>
      <c r="B119" s="35" t="s">
        <v>100</v>
      </c>
      <c r="C119" t="s">
        <v>14</v>
      </c>
      <c r="D119" s="35" t="s">
        <v>101</v>
      </c>
      <c r="E119" s="35">
        <v>424808</v>
      </c>
      <c r="F119" s="35" t="s">
        <v>168</v>
      </c>
      <c r="G119" s="35" t="s">
        <v>110</v>
      </c>
      <c r="H119" s="35" t="s">
        <v>20</v>
      </c>
      <c r="I119" s="36"/>
      <c r="J119" s="35">
        <v>30231329</v>
      </c>
      <c r="K119" s="35" t="s">
        <v>164</v>
      </c>
      <c r="L119" s="35" t="str">
        <f>_xlfn.XLOOKUP(Tabla2__2[[#This Row],[CODIGO RUTA]],'DATA INFORME'!I:I,'DATA INFORME'!K:K)</f>
        <v>SI</v>
      </c>
      <c r="M119" s="35" t="str">
        <f>IF(Tabla2__2[[#This Row],[MYSTERY EFECTIVO]]="SI",_xlfn.XLOOKUP(Tabla2__2[[#This Row],[PREGUNTA]],ENCUESTA!G:G,ENCUESTA!D:D),"N/A")</f>
        <v>UNIFORME</v>
      </c>
      <c r="N1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9" s="35" t="str">
        <f>_xlfn.XLOOKUP(Tabla2__2[[#This Row],[PREGUNTA]],ENCUESTA!G:G,ENCUESTA!H:H)</f>
        <v>SI</v>
      </c>
      <c r="P119" s="35">
        <f>IF(Tabla2__2[[#This Row],[RTA]]=Tabla2__2[[#This Row],[RTA CORRECTA]],Tabla2__2[[#This Row],[TOTAL PUNTAJE]],0)</f>
        <v>1.5</v>
      </c>
      <c r="Q119" s="35">
        <f>IF(OR(H119="Dog Chow húmedo",H119="Cat Chow húmedo",H119="Fancy Feast",H119="Felix",H119="Proplan húmedo",H119="One húmedo",H119="Snack Abrazzos",H119="Snak Dentalife",H119="Arenilla Tidy Cat"),N119,0)</f>
        <v>0</v>
      </c>
      <c r="R119" s="35"/>
    </row>
    <row r="120" spans="1:18" x14ac:dyDescent="0.35">
      <c r="A120" s="35" t="s">
        <v>95</v>
      </c>
      <c r="B120" s="35" t="s">
        <v>100</v>
      </c>
      <c r="C120" t="s">
        <v>14</v>
      </c>
      <c r="D120" s="35" t="s">
        <v>101</v>
      </c>
      <c r="E120" s="35">
        <v>424808</v>
      </c>
      <c r="F120" s="35" t="s">
        <v>168</v>
      </c>
      <c r="G120" s="35" t="s">
        <v>92</v>
      </c>
      <c r="H120" s="35" t="s">
        <v>94</v>
      </c>
      <c r="I120" s="36"/>
      <c r="J120" s="35">
        <v>30231329</v>
      </c>
      <c r="K120" s="35" t="s">
        <v>164</v>
      </c>
      <c r="L120" s="35" t="str">
        <f>_xlfn.XLOOKUP(Tabla2__2[[#This Row],[CODIGO RUTA]],'DATA INFORME'!I:I,'DATA INFORME'!K:K)</f>
        <v>SI</v>
      </c>
      <c r="M120" s="35" t="str">
        <f>IF(Tabla2__2[[#This Row],[MYSTERY EFECTIVO]]="SI",_xlfn.XLOOKUP(Tabla2__2[[#This Row],[PREGUNTA]],ENCUESTA!G:G,ENCUESTA!D:D),"N/A")</f>
        <v>UNIFORME</v>
      </c>
      <c r="N1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0" s="35" t="str">
        <f>_xlfn.XLOOKUP(Tabla2__2[[#This Row],[PREGUNTA]],ENCUESTA!G:G,ENCUESTA!H:H)</f>
        <v>NO</v>
      </c>
      <c r="P120" s="35">
        <f>IF(Tabla2__2[[#This Row],[RTA]]=Tabla2__2[[#This Row],[RTA CORRECTA]],Tabla2__2[[#This Row],[TOTAL PUNTAJE]],0)</f>
        <v>1.5</v>
      </c>
      <c r="Q120" s="35">
        <f>IF(OR(H120="Dog Chow húmedo",H120="Cat Chow húmedo",H120="Fancy Feast",H120="Felix",H120="Proplan húmedo",H120="One húmedo",H120="Snack Abrazzos",H120="Snak Dentalife",H120="Arenilla Tidy Cat"),N120,0)</f>
        <v>0</v>
      </c>
      <c r="R120" s="35"/>
    </row>
    <row r="121" spans="1:18" x14ac:dyDescent="0.35">
      <c r="A121" s="35" t="s">
        <v>95</v>
      </c>
      <c r="B121" s="35" t="s">
        <v>100</v>
      </c>
      <c r="C121" t="s">
        <v>14</v>
      </c>
      <c r="D121" s="35" t="s">
        <v>101</v>
      </c>
      <c r="E121" s="35">
        <v>424808</v>
      </c>
      <c r="F121" s="35" t="s">
        <v>168</v>
      </c>
      <c r="G121" s="35" t="s">
        <v>129</v>
      </c>
      <c r="H121" s="35" t="s">
        <v>20</v>
      </c>
      <c r="I121" s="36"/>
      <c r="J121" s="35">
        <v>30231329</v>
      </c>
      <c r="K121" s="35" t="s">
        <v>164</v>
      </c>
      <c r="L121" s="35" t="str">
        <f>_xlfn.XLOOKUP(Tabla2__2[[#This Row],[CODIGO RUTA]],'DATA INFORME'!I:I,'DATA INFORME'!K:K)</f>
        <v>SI</v>
      </c>
      <c r="M121" s="35" t="str">
        <f>IF(Tabla2__2[[#This Row],[MYSTERY EFECTIVO]]="SI",_xlfn.XLOOKUP(Tabla2__2[[#This Row],[PREGUNTA]],ENCUESTA!G:G,ENCUESTA!D:D),"N/A")</f>
        <v>ABORDAJE</v>
      </c>
      <c r="N1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1" s="35" t="str">
        <f>_xlfn.XLOOKUP(Tabla2__2[[#This Row],[PREGUNTA]],ENCUESTA!G:G,ENCUESTA!H:H)</f>
        <v>SI</v>
      </c>
      <c r="P121" s="35">
        <f>IF(Tabla2__2[[#This Row],[RTA]]=Tabla2__2[[#This Row],[RTA CORRECTA]],Tabla2__2[[#This Row],[TOTAL PUNTAJE]],0)</f>
        <v>20</v>
      </c>
      <c r="Q121" s="35">
        <f>IF(OR(H121="Dog Chow húmedo",H121="Cat Chow húmedo",H121="Fancy Feast",H121="Felix",H121="Proplan húmedo",H121="One húmedo",H121="Snack Abrazzos",H121="Snak Dentalife",H121="Arenilla Tidy Cat"),N121,0)</f>
        <v>0</v>
      </c>
      <c r="R121" s="35"/>
    </row>
    <row r="122" spans="1:18" x14ac:dyDescent="0.35">
      <c r="A122" s="35" t="s">
        <v>95</v>
      </c>
      <c r="B122" s="35" t="s">
        <v>100</v>
      </c>
      <c r="C122" t="s">
        <v>14</v>
      </c>
      <c r="D122" s="35" t="s">
        <v>101</v>
      </c>
      <c r="E122" s="35">
        <v>424808</v>
      </c>
      <c r="F122" s="35" t="s">
        <v>168</v>
      </c>
      <c r="G122" s="35" t="s">
        <v>121</v>
      </c>
      <c r="H122" s="35" t="s">
        <v>20</v>
      </c>
      <c r="I122" s="36"/>
      <c r="J122" s="35">
        <v>30231329</v>
      </c>
      <c r="K122" s="35" t="s">
        <v>164</v>
      </c>
      <c r="L122" s="35" t="str">
        <f>_xlfn.XLOOKUP(Tabla2__2[[#This Row],[CODIGO RUTA]],'DATA INFORME'!I:I,'DATA INFORME'!K:K)</f>
        <v>SI</v>
      </c>
      <c r="M122" s="35" t="str">
        <f>IF(Tabla2__2[[#This Row],[MYSTERY EFECTIVO]]="SI",_xlfn.XLOOKUP(Tabla2__2[[#This Row],[PREGUNTA]],ENCUESTA!G:G,ENCUESTA!D:D),"N/A")</f>
        <v>PORTAFOLIO Y MANEJO DE OBJECIONES</v>
      </c>
      <c r="N1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22" s="35" t="str">
        <f>_xlfn.XLOOKUP(Tabla2__2[[#This Row],[PREGUNTA]],ENCUESTA!G:G,ENCUESTA!H:H)</f>
        <v>SI</v>
      </c>
      <c r="P122" s="35">
        <f>IF(Tabla2__2[[#This Row],[RTA]]=Tabla2__2[[#This Row],[RTA CORRECTA]],Tabla2__2[[#This Row],[TOTAL PUNTAJE]],0)</f>
        <v>6</v>
      </c>
      <c r="Q122" s="35">
        <f>IF(OR(H122="Dog Chow húmedo",H122="Cat Chow húmedo",H122="Fancy Feast",H122="Felix",H122="Proplan húmedo",H122="One húmedo",H122="Snack Abrazzos",H122="Snak Dentalife",H122="Arenilla Tidy Cat"),N122,0)</f>
        <v>0</v>
      </c>
      <c r="R122" s="35"/>
    </row>
    <row r="123" spans="1:18" x14ac:dyDescent="0.35">
      <c r="A123" s="35" t="s">
        <v>95</v>
      </c>
      <c r="B123" s="35" t="s">
        <v>100</v>
      </c>
      <c r="C123" t="s">
        <v>14</v>
      </c>
      <c r="D123" s="35" t="s">
        <v>101</v>
      </c>
      <c r="E123" s="35">
        <v>424808</v>
      </c>
      <c r="F123" s="35" t="s">
        <v>168</v>
      </c>
      <c r="G123" s="35" t="s">
        <v>131</v>
      </c>
      <c r="H123" s="35" t="s">
        <v>20</v>
      </c>
      <c r="I123" s="36"/>
      <c r="J123" s="35">
        <v>30231329</v>
      </c>
      <c r="K123" s="35" t="s">
        <v>164</v>
      </c>
      <c r="L123" s="35" t="str">
        <f>_xlfn.XLOOKUP(Tabla2__2[[#This Row],[CODIGO RUTA]],'DATA INFORME'!I:I,'DATA INFORME'!K:K)</f>
        <v>SI</v>
      </c>
      <c r="M123" s="35" t="str">
        <f>IF(Tabla2__2[[#This Row],[MYSTERY EFECTIVO]]="SI",_xlfn.XLOOKUP(Tabla2__2[[#This Row],[PREGUNTA]],ENCUESTA!G:G,ENCUESTA!D:D),"N/A")</f>
        <v>PORTAFOLIO Y MANEJO DE OBJECIONES</v>
      </c>
      <c r="N1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23" s="35" t="str">
        <f>_xlfn.XLOOKUP(Tabla2__2[[#This Row],[PREGUNTA]],ENCUESTA!G:G,ENCUESTA!H:H)</f>
        <v>SI</v>
      </c>
      <c r="P123" s="35">
        <f>IF(Tabla2__2[[#This Row],[RTA]]=Tabla2__2[[#This Row],[RTA CORRECTA]],Tabla2__2[[#This Row],[TOTAL PUNTAJE]],0)</f>
        <v>6</v>
      </c>
      <c r="Q123" s="35">
        <f>IF(OR(H123="Dog Chow húmedo",H123="Cat Chow húmedo",H123="Fancy Feast",H123="Felix",H123="Proplan húmedo",H123="One húmedo",H123="Snack Abrazzos",H123="Snak Dentalife",H123="Arenilla Tidy Cat"),N123,0)</f>
        <v>0</v>
      </c>
      <c r="R123" s="35"/>
    </row>
    <row r="124" spans="1:18" x14ac:dyDescent="0.35">
      <c r="A124" s="35" t="s">
        <v>95</v>
      </c>
      <c r="B124" s="35" t="s">
        <v>100</v>
      </c>
      <c r="C124" t="s">
        <v>14</v>
      </c>
      <c r="D124" s="35" t="s">
        <v>101</v>
      </c>
      <c r="E124" s="35">
        <v>424808</v>
      </c>
      <c r="F124" s="35" t="s">
        <v>168</v>
      </c>
      <c r="G124" s="35" t="s">
        <v>112</v>
      </c>
      <c r="H124" s="35" t="s">
        <v>14</v>
      </c>
      <c r="I124" s="36"/>
      <c r="J124" s="35">
        <v>30231329</v>
      </c>
      <c r="K124" s="35" t="s">
        <v>164</v>
      </c>
      <c r="L124" s="35" t="str">
        <f>_xlfn.XLOOKUP(Tabla2__2[[#This Row],[CODIGO RUTA]],'DATA INFORME'!I:I,'DATA INFORME'!K:K)</f>
        <v>SI</v>
      </c>
      <c r="M124" s="35" t="str">
        <f>IF(Tabla2__2[[#This Row],[MYSTERY EFECTIVO]]="SI",_xlfn.XLOOKUP(Tabla2__2[[#This Row],[PREGUNTA]],ENCUESTA!G:G,ENCUESTA!D:D),"N/A")</f>
        <v>N/A</v>
      </c>
      <c r="N1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4" s="35">
        <f>_xlfn.XLOOKUP(Tabla2__2[[#This Row],[PREGUNTA]],ENCUESTA!G:G,ENCUESTA!H:H)</f>
        <v>0</v>
      </c>
      <c r="P124" s="35">
        <f>IF(Tabla2__2[[#This Row],[RTA]]=Tabla2__2[[#This Row],[RTA CORRECTA]],Tabla2__2[[#This Row],[TOTAL PUNTAJE]],0)</f>
        <v>0</v>
      </c>
      <c r="Q124" s="35">
        <f>IF(OR(H124="Dog Chow húmedo",H124="Cat Chow húmedo",H124="Fancy Feast",H124="Felix",H124="Proplan húmedo",H124="One húmedo",H124="Snack Abrazzos",H124="Snak Dentalife",H124="Arenilla Tidy Cat"),N124,0)</f>
        <v>0</v>
      </c>
      <c r="R124" s="35"/>
    </row>
    <row r="125" spans="1:18" x14ac:dyDescent="0.35">
      <c r="A125" s="35" t="s">
        <v>95</v>
      </c>
      <c r="B125" s="35" t="s">
        <v>100</v>
      </c>
      <c r="C125" t="s">
        <v>14</v>
      </c>
      <c r="D125" s="35" t="s">
        <v>101</v>
      </c>
      <c r="E125" s="35">
        <v>424808</v>
      </c>
      <c r="F125" s="35" t="s">
        <v>168</v>
      </c>
      <c r="G125" s="35" t="s">
        <v>136</v>
      </c>
      <c r="H125" s="35" t="s">
        <v>20</v>
      </c>
      <c r="I125" s="36"/>
      <c r="J125" s="35">
        <v>30231329</v>
      </c>
      <c r="K125" s="35" t="s">
        <v>164</v>
      </c>
      <c r="L125" s="35" t="str">
        <f>_xlfn.XLOOKUP(Tabla2__2[[#This Row],[CODIGO RUTA]],'DATA INFORME'!I:I,'DATA INFORME'!K:K)</f>
        <v>SI</v>
      </c>
      <c r="M125" s="35" t="str">
        <f>IF(Tabla2__2[[#This Row],[MYSTERY EFECTIVO]]="SI",_xlfn.XLOOKUP(Tabla2__2[[#This Row],[PREGUNTA]],ENCUESTA!G:G,ENCUESTA!D:D),"N/A")</f>
        <v>PORTAFOLIO Y MANEJO DE OBJECIONES</v>
      </c>
      <c r="N1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25" s="35" t="str">
        <f>_xlfn.XLOOKUP(Tabla2__2[[#This Row],[PREGUNTA]],ENCUESTA!G:G,ENCUESTA!H:H)</f>
        <v>SI</v>
      </c>
      <c r="P125" s="35">
        <f>IF(Tabla2__2[[#This Row],[RTA]]=Tabla2__2[[#This Row],[RTA CORRECTA]],Tabla2__2[[#This Row],[TOTAL PUNTAJE]],0)</f>
        <v>3</v>
      </c>
      <c r="Q125" s="35">
        <f>IF(OR(H125="Dog Chow húmedo",H125="Cat Chow húmedo",H125="Fancy Feast",H125="Felix",H125="Proplan húmedo",H125="One húmedo",H125="Snack Abrazzos",H125="Snak Dentalife",H125="Arenilla Tidy Cat"),N125,0)</f>
        <v>0</v>
      </c>
      <c r="R125" s="35"/>
    </row>
    <row r="126" spans="1:18" x14ac:dyDescent="0.35">
      <c r="A126" s="35" t="s">
        <v>95</v>
      </c>
      <c r="B126" s="35" t="s">
        <v>100</v>
      </c>
      <c r="C126" t="s">
        <v>14</v>
      </c>
      <c r="D126" s="35" t="s">
        <v>101</v>
      </c>
      <c r="E126" s="35">
        <v>424808</v>
      </c>
      <c r="F126" s="35" t="s">
        <v>168</v>
      </c>
      <c r="G126" s="35" t="s">
        <v>137</v>
      </c>
      <c r="H126" s="35" t="s">
        <v>20</v>
      </c>
      <c r="I126" s="36"/>
      <c r="J126" s="35">
        <v>30231329</v>
      </c>
      <c r="K126" s="35" t="s">
        <v>164</v>
      </c>
      <c r="L126" s="35" t="str">
        <f>_xlfn.XLOOKUP(Tabla2__2[[#This Row],[CODIGO RUTA]],'DATA INFORME'!I:I,'DATA INFORME'!K:K)</f>
        <v>SI</v>
      </c>
      <c r="M126" s="35" t="str">
        <f>IF(Tabla2__2[[#This Row],[MYSTERY EFECTIVO]]="SI",_xlfn.XLOOKUP(Tabla2__2[[#This Row],[PREGUNTA]],ENCUESTA!G:G,ENCUESTA!D:D),"N/A")</f>
        <v>PORTAFOLIO Y MANEJO DE OBJECIONES</v>
      </c>
      <c r="N1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v>
      </c>
      <c r="O126" s="35" t="str">
        <f>_xlfn.XLOOKUP(Tabla2__2[[#This Row],[PREGUNTA]],ENCUESTA!G:G,ENCUESTA!H:H)</f>
        <v>SI</v>
      </c>
      <c r="P126" s="35">
        <f>IF(Tabla2__2[[#This Row],[RTA]]=Tabla2__2[[#This Row],[RTA CORRECTA]],Tabla2__2[[#This Row],[TOTAL PUNTAJE]],0)</f>
        <v>3</v>
      </c>
      <c r="Q126" s="35">
        <f>IF(OR(H126="Dog Chow húmedo",H126="Cat Chow húmedo",H126="Fancy Feast",H126="Felix",H126="Proplan húmedo",H126="One húmedo",H126="Snack Abrazzos",H126="Snak Dentalife",H126="Arenilla Tidy Cat"),N126,0)</f>
        <v>0</v>
      </c>
      <c r="R126" s="35"/>
    </row>
    <row r="127" spans="1:18" x14ac:dyDescent="0.35">
      <c r="A127" s="35" t="s">
        <v>95</v>
      </c>
      <c r="B127" s="35" t="s">
        <v>100</v>
      </c>
      <c r="C127" t="s">
        <v>14</v>
      </c>
      <c r="D127" s="35" t="s">
        <v>101</v>
      </c>
      <c r="E127" s="35">
        <v>424808</v>
      </c>
      <c r="F127" s="35" t="s">
        <v>168</v>
      </c>
      <c r="G127" s="35" t="s">
        <v>93</v>
      </c>
      <c r="H127" s="35" t="s">
        <v>94</v>
      </c>
      <c r="I127" s="36"/>
      <c r="J127" s="35">
        <v>30231329</v>
      </c>
      <c r="K127" s="35" t="s">
        <v>164</v>
      </c>
      <c r="L127" s="35" t="str">
        <f>_xlfn.XLOOKUP(Tabla2__2[[#This Row],[CODIGO RUTA]],'DATA INFORME'!I:I,'DATA INFORME'!K:K)</f>
        <v>SI</v>
      </c>
      <c r="M127" s="35" t="str">
        <f>IF(Tabla2__2[[#This Row],[MYSTERY EFECTIVO]]="SI",_xlfn.XLOOKUP(Tabla2__2[[#This Row],[PREGUNTA]],ENCUESTA!G:G,ENCUESTA!D:D),"N/A")</f>
        <v>UNIFORME</v>
      </c>
      <c r="N1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7" s="35" t="str">
        <f>_xlfn.XLOOKUP(Tabla2__2[[#This Row],[PREGUNTA]],ENCUESTA!G:G,ENCUESTA!H:H)</f>
        <v>NO</v>
      </c>
      <c r="P127" s="35">
        <f>IF(Tabla2__2[[#This Row],[RTA]]=Tabla2__2[[#This Row],[RTA CORRECTA]],Tabla2__2[[#This Row],[TOTAL PUNTAJE]],0)</f>
        <v>1.5</v>
      </c>
      <c r="Q127" s="35">
        <f>IF(OR(H127="Dog Chow húmedo",H127="Cat Chow húmedo",H127="Fancy Feast",H127="Felix",H127="Proplan húmedo",H127="One húmedo",H127="Snack Abrazzos",H127="Snak Dentalife",H127="Arenilla Tidy Cat"),N127,0)</f>
        <v>0</v>
      </c>
      <c r="R127" s="35"/>
    </row>
    <row r="128" spans="1:18" x14ac:dyDescent="0.35">
      <c r="A128" s="35" t="s">
        <v>95</v>
      </c>
      <c r="B128" s="35" t="s">
        <v>100</v>
      </c>
      <c r="C128" t="s">
        <v>14</v>
      </c>
      <c r="D128" s="35" t="s">
        <v>101</v>
      </c>
      <c r="E128" s="35">
        <v>424808</v>
      </c>
      <c r="F128" s="35" t="s">
        <v>168</v>
      </c>
      <c r="G128" s="35" t="s">
        <v>87</v>
      </c>
      <c r="H128" s="35" t="s">
        <v>20</v>
      </c>
      <c r="I128" s="36"/>
      <c r="J128" s="35">
        <v>30231329</v>
      </c>
      <c r="K128" s="35" t="s">
        <v>164</v>
      </c>
      <c r="L128" s="35" t="str">
        <f>_xlfn.XLOOKUP(Tabla2__2[[#This Row],[CODIGO RUTA]],'DATA INFORME'!I:I,'DATA INFORME'!K:K)</f>
        <v>SI</v>
      </c>
      <c r="M128" s="35" t="str">
        <f>IF(Tabla2__2[[#This Row],[MYSTERY EFECTIVO]]="SI",_xlfn.XLOOKUP(Tabla2__2[[#This Row],[PREGUNTA]],ENCUESTA!G:G,ENCUESTA!D:D),"N/A")</f>
        <v>UNIFORME</v>
      </c>
      <c r="N1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8" s="35" t="str">
        <f>_xlfn.XLOOKUP(Tabla2__2[[#This Row],[PREGUNTA]],ENCUESTA!G:G,ENCUESTA!H:H)</f>
        <v>SI</v>
      </c>
      <c r="P128" s="35">
        <f>IF(Tabla2__2[[#This Row],[RTA]]=Tabla2__2[[#This Row],[RTA CORRECTA]],Tabla2__2[[#This Row],[TOTAL PUNTAJE]],0)</f>
        <v>1.5</v>
      </c>
      <c r="Q128" s="35">
        <f>IF(OR(H128="Dog Chow húmedo",H128="Cat Chow húmedo",H128="Fancy Feast",H128="Felix",H128="Proplan húmedo",H128="One húmedo",H128="Snack Abrazzos",H128="Snak Dentalife",H128="Arenilla Tidy Cat"),N128,0)</f>
        <v>0</v>
      </c>
      <c r="R128" s="35"/>
    </row>
    <row r="129" spans="1:18" x14ac:dyDescent="0.35">
      <c r="A129" s="35" t="s">
        <v>95</v>
      </c>
      <c r="B129" s="35" t="s">
        <v>100</v>
      </c>
      <c r="C129" t="s">
        <v>14</v>
      </c>
      <c r="D129" s="35" t="s">
        <v>101</v>
      </c>
      <c r="E129" s="35">
        <v>424808</v>
      </c>
      <c r="F129" s="35" t="s">
        <v>168</v>
      </c>
      <c r="G129" s="35" t="s">
        <v>86</v>
      </c>
      <c r="H129" s="35" t="s">
        <v>20</v>
      </c>
      <c r="I129" s="36"/>
      <c r="J129" s="35">
        <v>30231329</v>
      </c>
      <c r="K129" s="35" t="s">
        <v>164</v>
      </c>
      <c r="L129" s="35" t="str">
        <f>_xlfn.XLOOKUP(Tabla2__2[[#This Row],[CODIGO RUTA]],'DATA INFORME'!I:I,'DATA INFORME'!K:K)</f>
        <v>SI</v>
      </c>
      <c r="M129" s="35" t="str">
        <f>IF(Tabla2__2[[#This Row],[MYSTERY EFECTIVO]]="SI",_xlfn.XLOOKUP(Tabla2__2[[#This Row],[PREGUNTA]],ENCUESTA!G:G,ENCUESTA!D:D),"N/A")</f>
        <v>HORARIO</v>
      </c>
      <c r="N1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9" s="35" t="str">
        <f>_xlfn.XLOOKUP(Tabla2__2[[#This Row],[PREGUNTA]],ENCUESTA!G:G,ENCUESTA!H:H)</f>
        <v>SI</v>
      </c>
      <c r="P129" s="35">
        <f>IF(Tabla2__2[[#This Row],[RTA]]=Tabla2__2[[#This Row],[RTA CORRECTA]],Tabla2__2[[#This Row],[TOTAL PUNTAJE]],0)</f>
        <v>20</v>
      </c>
      <c r="Q129" s="35">
        <f>IF(OR(H129="Dog Chow húmedo",H129="Cat Chow húmedo",H129="Fancy Feast",H129="Felix",H129="Proplan húmedo",H129="One húmedo",H129="Snack Abrazzos",H129="Snak Dentalife",H129="Arenilla Tidy Cat"),N129,0)</f>
        <v>0</v>
      </c>
      <c r="R129" s="35"/>
    </row>
    <row r="130" spans="1:18" x14ac:dyDescent="0.35">
      <c r="A130" s="35" t="s">
        <v>95</v>
      </c>
      <c r="B130" s="35" t="s">
        <v>100</v>
      </c>
      <c r="C130" t="s">
        <v>14</v>
      </c>
      <c r="D130" s="35" t="s">
        <v>101</v>
      </c>
      <c r="E130" s="35">
        <v>424808</v>
      </c>
      <c r="F130" s="35" t="s">
        <v>168</v>
      </c>
      <c r="G130" s="35" t="s">
        <v>109</v>
      </c>
      <c r="H130" s="35" t="s">
        <v>20</v>
      </c>
      <c r="I130" s="36"/>
      <c r="J130" s="35">
        <v>30231329</v>
      </c>
      <c r="K130" s="35" t="s">
        <v>164</v>
      </c>
      <c r="L130" s="35" t="str">
        <f>_xlfn.XLOOKUP(Tabla2__2[[#This Row],[CODIGO RUTA]],'DATA INFORME'!I:I,'DATA INFORME'!K:K)</f>
        <v>SI</v>
      </c>
      <c r="M130" s="35" t="str">
        <f>IF(Tabla2__2[[#This Row],[MYSTERY EFECTIVO]]="SI",_xlfn.XLOOKUP(Tabla2__2[[#This Row],[PREGUNTA]],ENCUESTA!G:G,ENCUESTA!D:D),"N/A")</f>
        <v>N/A</v>
      </c>
      <c r="N1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0" s="35">
        <f>_xlfn.XLOOKUP(Tabla2__2[[#This Row],[PREGUNTA]],ENCUESTA!G:G,ENCUESTA!H:H)</f>
        <v>0</v>
      </c>
      <c r="P130" s="35">
        <f>IF(Tabla2__2[[#This Row],[RTA]]=Tabla2__2[[#This Row],[RTA CORRECTA]],Tabla2__2[[#This Row],[TOTAL PUNTAJE]],0)</f>
        <v>0</v>
      </c>
      <c r="Q130" s="35">
        <f>IF(OR(H130="Dog Chow húmedo",H130="Cat Chow húmedo",H130="Fancy Feast",H130="Felix",H130="Proplan húmedo",H130="One húmedo",H130="Snack Abrazzos",H130="Snak Dentalife",H130="Arenilla Tidy Cat"),N130,0)</f>
        <v>0</v>
      </c>
      <c r="R130" s="35"/>
    </row>
    <row r="131" spans="1:18" x14ac:dyDescent="0.35">
      <c r="A131" s="35" t="s">
        <v>95</v>
      </c>
      <c r="B131" s="35" t="s">
        <v>100</v>
      </c>
      <c r="C131" t="s">
        <v>41</v>
      </c>
      <c r="D131" s="35" t="s">
        <v>101</v>
      </c>
      <c r="E131" s="35">
        <v>66552</v>
      </c>
      <c r="F131" s="35" t="s">
        <v>158</v>
      </c>
      <c r="G131" s="35" t="s">
        <v>92</v>
      </c>
      <c r="H131" s="35" t="s">
        <v>94</v>
      </c>
      <c r="I131" s="36"/>
      <c r="J131" s="35">
        <v>30189338</v>
      </c>
      <c r="K131" s="35" t="s">
        <v>164</v>
      </c>
      <c r="L131" s="35" t="str">
        <f>_xlfn.XLOOKUP(Tabla2__2[[#This Row],[CODIGO RUTA]],'DATA INFORME'!I:I,'DATA INFORME'!K:K)</f>
        <v>SI</v>
      </c>
      <c r="M131" s="35" t="str">
        <f>IF(Tabla2__2[[#This Row],[MYSTERY EFECTIVO]]="SI",_xlfn.XLOOKUP(Tabla2__2[[#This Row],[PREGUNTA]],ENCUESTA!G:G,ENCUESTA!D:D),"N/A")</f>
        <v>UNIFORME</v>
      </c>
      <c r="N1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1" s="35" t="str">
        <f>_xlfn.XLOOKUP(Tabla2__2[[#This Row],[PREGUNTA]],ENCUESTA!G:G,ENCUESTA!H:H)</f>
        <v>NO</v>
      </c>
      <c r="P131" s="35">
        <f>IF(Tabla2__2[[#This Row],[RTA]]=Tabla2__2[[#This Row],[RTA CORRECTA]],Tabla2__2[[#This Row],[TOTAL PUNTAJE]],0)</f>
        <v>1.5</v>
      </c>
      <c r="Q131" s="35">
        <f>IF(OR(H131="Dog Chow húmedo",H131="Cat Chow húmedo",H131="Fancy Feast",H131="Felix",H131="Proplan húmedo",H131="One húmedo",H131="Snack Abrazzos",H131="Snak Dentalife",H131="Arenilla Tidy Cat"),N131,0)</f>
        <v>0</v>
      </c>
      <c r="R131" s="35"/>
    </row>
    <row r="132" spans="1:18" x14ac:dyDescent="0.35">
      <c r="A132" s="35" t="s">
        <v>95</v>
      </c>
      <c r="B132" s="35" t="s">
        <v>100</v>
      </c>
      <c r="C132" t="s">
        <v>41</v>
      </c>
      <c r="D132" s="35" t="s">
        <v>101</v>
      </c>
      <c r="E132" s="35">
        <v>66552</v>
      </c>
      <c r="F132" s="35" t="s">
        <v>158</v>
      </c>
      <c r="G132" s="35" t="s">
        <v>93</v>
      </c>
      <c r="H132" s="35" t="s">
        <v>94</v>
      </c>
      <c r="I132" s="36"/>
      <c r="J132" s="35">
        <v>30189338</v>
      </c>
      <c r="K132" s="35" t="s">
        <v>164</v>
      </c>
      <c r="L132" s="35" t="str">
        <f>_xlfn.XLOOKUP(Tabla2__2[[#This Row],[CODIGO RUTA]],'DATA INFORME'!I:I,'DATA INFORME'!K:K)</f>
        <v>SI</v>
      </c>
      <c r="M132" s="35" t="str">
        <f>IF(Tabla2__2[[#This Row],[MYSTERY EFECTIVO]]="SI",_xlfn.XLOOKUP(Tabla2__2[[#This Row],[PREGUNTA]],ENCUESTA!G:G,ENCUESTA!D:D),"N/A")</f>
        <v>UNIFORME</v>
      </c>
      <c r="N1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32" s="35" t="str">
        <f>_xlfn.XLOOKUP(Tabla2__2[[#This Row],[PREGUNTA]],ENCUESTA!G:G,ENCUESTA!H:H)</f>
        <v>NO</v>
      </c>
      <c r="P132" s="35">
        <f>IF(Tabla2__2[[#This Row],[RTA]]=Tabla2__2[[#This Row],[RTA CORRECTA]],Tabla2__2[[#This Row],[TOTAL PUNTAJE]],0)</f>
        <v>1.5</v>
      </c>
      <c r="Q132" s="35">
        <f>IF(OR(H132="Dog Chow húmedo",H132="Cat Chow húmedo",H132="Fancy Feast",H132="Felix",H132="Proplan húmedo",H132="One húmedo",H132="Snack Abrazzos",H132="Snak Dentalife",H132="Arenilla Tidy Cat"),N132,0)</f>
        <v>0</v>
      </c>
      <c r="R132" s="35"/>
    </row>
    <row r="133" spans="1:18" x14ac:dyDescent="0.35">
      <c r="A133" s="35" t="s">
        <v>95</v>
      </c>
      <c r="B133" s="35" t="s">
        <v>100</v>
      </c>
      <c r="C133" t="s">
        <v>41</v>
      </c>
      <c r="D133" s="35" t="s">
        <v>101</v>
      </c>
      <c r="E133" s="35">
        <v>66552</v>
      </c>
      <c r="F133" s="35" t="s">
        <v>158</v>
      </c>
      <c r="G133" s="35" t="s">
        <v>129</v>
      </c>
      <c r="H133" s="35" t="s">
        <v>20</v>
      </c>
      <c r="I133" s="36"/>
      <c r="J133" s="35">
        <v>30189338</v>
      </c>
      <c r="K133" s="35" t="s">
        <v>164</v>
      </c>
      <c r="L133" s="35" t="str">
        <f>_xlfn.XLOOKUP(Tabla2__2[[#This Row],[CODIGO RUTA]],'DATA INFORME'!I:I,'DATA INFORME'!K:K)</f>
        <v>SI</v>
      </c>
      <c r="M133" s="35" t="str">
        <f>IF(Tabla2__2[[#This Row],[MYSTERY EFECTIVO]]="SI",_xlfn.XLOOKUP(Tabla2__2[[#This Row],[PREGUNTA]],ENCUESTA!G:G,ENCUESTA!D:D),"N/A")</f>
        <v>ABORDAJE</v>
      </c>
      <c r="N1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33" s="35" t="str">
        <f>_xlfn.XLOOKUP(Tabla2__2[[#This Row],[PREGUNTA]],ENCUESTA!G:G,ENCUESTA!H:H)</f>
        <v>SI</v>
      </c>
      <c r="P133" s="35">
        <f>IF(Tabla2__2[[#This Row],[RTA]]=Tabla2__2[[#This Row],[RTA CORRECTA]],Tabla2__2[[#This Row],[TOTAL PUNTAJE]],0)</f>
        <v>20</v>
      </c>
      <c r="Q133" s="35">
        <f>IF(OR(H133="Dog Chow húmedo",H133="Cat Chow húmedo",H133="Fancy Feast",H133="Felix",H133="Proplan húmedo",H133="One húmedo",H133="Snack Abrazzos",H133="Snak Dentalife",H133="Arenilla Tidy Cat"),N133,0)</f>
        <v>0</v>
      </c>
      <c r="R133" s="35"/>
    </row>
    <row r="134" spans="1:18" x14ac:dyDescent="0.35">
      <c r="A134" s="35" t="s">
        <v>95</v>
      </c>
      <c r="B134" s="35" t="s">
        <v>100</v>
      </c>
      <c r="C134" t="s">
        <v>41</v>
      </c>
      <c r="D134" s="35" t="s">
        <v>101</v>
      </c>
      <c r="E134" s="35">
        <v>66552</v>
      </c>
      <c r="F134" s="35" t="s">
        <v>158</v>
      </c>
      <c r="G134" s="35" t="s">
        <v>121</v>
      </c>
      <c r="H134" s="35" t="s">
        <v>20</v>
      </c>
      <c r="I134" s="36"/>
      <c r="J134" s="35">
        <v>30189338</v>
      </c>
      <c r="K134" s="35" t="s">
        <v>164</v>
      </c>
      <c r="L134" s="35" t="str">
        <f>_xlfn.XLOOKUP(Tabla2__2[[#This Row],[CODIGO RUTA]],'DATA INFORME'!I:I,'DATA INFORME'!K:K)</f>
        <v>SI</v>
      </c>
      <c r="M134" s="35" t="str">
        <f>IF(Tabla2__2[[#This Row],[MYSTERY EFECTIVO]]="SI",_xlfn.XLOOKUP(Tabla2__2[[#This Row],[PREGUNTA]],ENCUESTA!G:G,ENCUESTA!D:D),"N/A")</f>
        <v>PORTAFOLIO Y MANEJO DE OBJECIONES</v>
      </c>
      <c r="N1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34" s="35" t="str">
        <f>_xlfn.XLOOKUP(Tabla2__2[[#This Row],[PREGUNTA]],ENCUESTA!G:G,ENCUESTA!H:H)</f>
        <v>SI</v>
      </c>
      <c r="P134" s="35">
        <f>IF(Tabla2__2[[#This Row],[RTA]]=Tabla2__2[[#This Row],[RTA CORRECTA]],Tabla2__2[[#This Row],[TOTAL PUNTAJE]],0)</f>
        <v>6</v>
      </c>
      <c r="Q134" s="35">
        <f>IF(OR(H134="Dog Chow húmedo",H134="Cat Chow húmedo",H134="Fancy Feast",H134="Felix",H134="Proplan húmedo",H134="One húmedo",H134="Snack Abrazzos",H134="Snak Dentalife",H134="Arenilla Tidy Cat"),N134,0)</f>
        <v>0</v>
      </c>
      <c r="R134" s="35"/>
    </row>
    <row r="135" spans="1:18" x14ac:dyDescent="0.35">
      <c r="A135" s="35" t="s">
        <v>95</v>
      </c>
      <c r="B135" s="35" t="s">
        <v>100</v>
      </c>
      <c r="C135" t="s">
        <v>41</v>
      </c>
      <c r="D135" s="35" t="s">
        <v>101</v>
      </c>
      <c r="E135" s="35">
        <v>66552</v>
      </c>
      <c r="F135" s="35" t="s">
        <v>158</v>
      </c>
      <c r="G135" s="35" t="s">
        <v>131</v>
      </c>
      <c r="H135" s="35" t="s">
        <v>20</v>
      </c>
      <c r="I135" s="36"/>
      <c r="J135" s="35">
        <v>30189338</v>
      </c>
      <c r="K135" s="35" t="s">
        <v>164</v>
      </c>
      <c r="L135" s="35" t="str">
        <f>_xlfn.XLOOKUP(Tabla2__2[[#This Row],[CODIGO RUTA]],'DATA INFORME'!I:I,'DATA INFORME'!K:K)</f>
        <v>SI</v>
      </c>
      <c r="M135" s="35" t="str">
        <f>IF(Tabla2__2[[#This Row],[MYSTERY EFECTIVO]]="SI",_xlfn.XLOOKUP(Tabla2__2[[#This Row],[PREGUNTA]],ENCUESTA!G:G,ENCUESTA!D:D),"N/A")</f>
        <v>PORTAFOLIO Y MANEJO DE OBJECIONES</v>
      </c>
      <c r="N1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35" s="35" t="str">
        <f>_xlfn.XLOOKUP(Tabla2__2[[#This Row],[PREGUNTA]],ENCUESTA!G:G,ENCUESTA!H:H)</f>
        <v>SI</v>
      </c>
      <c r="P135" s="35">
        <f>IF(Tabla2__2[[#This Row],[RTA]]=Tabla2__2[[#This Row],[RTA CORRECTA]],Tabla2__2[[#This Row],[TOTAL PUNTAJE]],0)</f>
        <v>6</v>
      </c>
      <c r="Q135" s="35">
        <f>IF(OR(H135="Dog Chow húmedo",H135="Cat Chow húmedo",H135="Fancy Feast",H135="Felix",H135="Proplan húmedo",H135="One húmedo",H135="Snack Abrazzos",H135="Snak Dentalife",H135="Arenilla Tidy Cat"),N135,0)</f>
        <v>0</v>
      </c>
      <c r="R135" s="35"/>
    </row>
    <row r="136" spans="1:18" x14ac:dyDescent="0.35">
      <c r="A136" s="35" t="s">
        <v>95</v>
      </c>
      <c r="B136" s="35" t="s">
        <v>100</v>
      </c>
      <c r="C136" t="s">
        <v>41</v>
      </c>
      <c r="D136" s="35" t="s">
        <v>101</v>
      </c>
      <c r="E136" s="35">
        <v>66552</v>
      </c>
      <c r="F136" s="35" t="s">
        <v>158</v>
      </c>
      <c r="G136" s="35" t="s">
        <v>112</v>
      </c>
      <c r="H136" s="35" t="s">
        <v>41</v>
      </c>
      <c r="I136" s="36"/>
      <c r="J136" s="35">
        <v>30189338</v>
      </c>
      <c r="K136" s="35" t="s">
        <v>164</v>
      </c>
      <c r="L136" s="35" t="str">
        <f>_xlfn.XLOOKUP(Tabla2__2[[#This Row],[CODIGO RUTA]],'DATA INFORME'!I:I,'DATA INFORME'!K:K)</f>
        <v>SI</v>
      </c>
      <c r="M136" s="35" t="str">
        <f>IF(Tabla2__2[[#This Row],[MYSTERY EFECTIVO]]="SI",_xlfn.XLOOKUP(Tabla2__2[[#This Row],[PREGUNTA]],ENCUESTA!G:G,ENCUESTA!D:D),"N/A")</f>
        <v>N/A</v>
      </c>
      <c r="N1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6" s="35">
        <f>_xlfn.XLOOKUP(Tabla2__2[[#This Row],[PREGUNTA]],ENCUESTA!G:G,ENCUESTA!H:H)</f>
        <v>0</v>
      </c>
      <c r="P136" s="35">
        <f>IF(Tabla2__2[[#This Row],[RTA]]=Tabla2__2[[#This Row],[RTA CORRECTA]],Tabla2__2[[#This Row],[TOTAL PUNTAJE]],0)</f>
        <v>0</v>
      </c>
      <c r="Q136" s="35">
        <f>IF(OR(H136="Dog Chow húmedo",H136="Cat Chow húmedo",H136="Fancy Feast",H136="Felix",H136="Proplan húmedo",H136="One húmedo",H136="Snack Abrazzos",H136="Snak Dentalife",H136="Arenilla Tidy Cat"),N136,0)</f>
        <v>0</v>
      </c>
      <c r="R136" s="35"/>
    </row>
    <row r="137" spans="1:18" x14ac:dyDescent="0.35">
      <c r="A137" s="35" t="s">
        <v>95</v>
      </c>
      <c r="B137" s="35" t="s">
        <v>100</v>
      </c>
      <c r="C137" t="s">
        <v>41</v>
      </c>
      <c r="D137" s="35" t="s">
        <v>101</v>
      </c>
      <c r="E137" s="35">
        <v>66552</v>
      </c>
      <c r="F137" s="35" t="s">
        <v>158</v>
      </c>
      <c r="G137" s="35" t="s">
        <v>125</v>
      </c>
      <c r="H137" s="35" t="s">
        <v>20</v>
      </c>
      <c r="I137" s="36"/>
      <c r="J137" s="35">
        <v>30189338</v>
      </c>
      <c r="K137" s="35" t="s">
        <v>164</v>
      </c>
      <c r="L137" s="35" t="str">
        <f>_xlfn.XLOOKUP(Tabla2__2[[#This Row],[CODIGO RUTA]],'DATA INFORME'!I:I,'DATA INFORME'!K:K)</f>
        <v>SI</v>
      </c>
      <c r="M137" s="35" t="str">
        <f>IF(Tabla2__2[[#This Row],[MYSTERY EFECTIVO]]="SI",_xlfn.XLOOKUP(Tabla2__2[[#This Row],[PREGUNTA]],ENCUESTA!G:G,ENCUESTA!D:D),"N/A")</f>
        <v>PORTAFOLIO Y MANEJO DE OBJECIONES</v>
      </c>
      <c r="N1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37" s="35" t="str">
        <f>_xlfn.XLOOKUP(Tabla2__2[[#This Row],[PREGUNTA]],ENCUESTA!G:G,ENCUESTA!H:H)</f>
        <v>SI</v>
      </c>
      <c r="P137" s="35">
        <f>IF(Tabla2__2[[#This Row],[RTA]]=Tabla2__2[[#This Row],[RTA CORRECTA]],Tabla2__2[[#This Row],[TOTAL PUNTAJE]],0)</f>
        <v>6</v>
      </c>
      <c r="Q137" s="35">
        <f>IF(OR(H137="Dog Chow húmedo",H137="Cat Chow húmedo",H137="Fancy Feast",H137="Felix",H137="Proplan húmedo",H137="One húmedo",H137="Snack Abrazzos",H137="Snak Dentalife",H137="Arenilla Tidy Cat"),N137,0)</f>
        <v>0</v>
      </c>
      <c r="R137" s="35"/>
    </row>
    <row r="138" spans="1:18" x14ac:dyDescent="0.35">
      <c r="A138" s="35" t="s">
        <v>95</v>
      </c>
      <c r="B138" s="35" t="s">
        <v>100</v>
      </c>
      <c r="C138" t="s">
        <v>41</v>
      </c>
      <c r="D138" s="35" t="s">
        <v>101</v>
      </c>
      <c r="E138" s="35">
        <v>66552</v>
      </c>
      <c r="F138" s="35" t="s">
        <v>158</v>
      </c>
      <c r="G138" s="35" t="s">
        <v>126</v>
      </c>
      <c r="H138" s="35" t="s">
        <v>94</v>
      </c>
      <c r="I138" s="36"/>
      <c r="J138" s="35">
        <v>30189338</v>
      </c>
      <c r="K138" s="35" t="s">
        <v>164</v>
      </c>
      <c r="L138" s="35" t="str">
        <f>_xlfn.XLOOKUP(Tabla2__2[[#This Row],[CODIGO RUTA]],'DATA INFORME'!I:I,'DATA INFORME'!K:K)</f>
        <v>SI</v>
      </c>
      <c r="M138" s="35" t="str">
        <f>IF(Tabla2__2[[#This Row],[MYSTERY EFECTIVO]]="SI",_xlfn.XLOOKUP(Tabla2__2[[#This Row],[PREGUNTA]],ENCUESTA!G:G,ENCUESTA!D:D),"N/A")</f>
        <v>PORTAFOLIO Y MANEJO DE OBJECIONES</v>
      </c>
      <c r="N1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38" s="35" t="str">
        <f>_xlfn.XLOOKUP(Tabla2__2[[#This Row],[PREGUNTA]],ENCUESTA!G:G,ENCUESTA!H:H)</f>
        <v>SI</v>
      </c>
      <c r="P138" s="35">
        <f>IF(Tabla2__2[[#This Row],[RTA]]=Tabla2__2[[#This Row],[RTA CORRECTA]],Tabla2__2[[#This Row],[TOTAL PUNTAJE]],0)</f>
        <v>0</v>
      </c>
      <c r="Q138" s="35">
        <f>IF(OR(H138="Dog Chow húmedo",H138="Cat Chow húmedo",H138="Fancy Feast",H138="Felix",H138="Proplan húmedo",H138="One húmedo",H138="Snack Abrazzos",H138="Snak Dentalife",H138="Arenilla Tidy Cat"),N138,0)</f>
        <v>0</v>
      </c>
      <c r="R138" s="35"/>
    </row>
    <row r="139" spans="1:18" x14ac:dyDescent="0.35">
      <c r="A139" s="35" t="s">
        <v>95</v>
      </c>
      <c r="B139" s="35" t="s">
        <v>100</v>
      </c>
      <c r="C139" t="s">
        <v>41</v>
      </c>
      <c r="D139" s="35" t="s">
        <v>101</v>
      </c>
      <c r="E139" s="35">
        <v>66552</v>
      </c>
      <c r="F139" s="35" t="s">
        <v>158</v>
      </c>
      <c r="G139" s="35" t="s">
        <v>127</v>
      </c>
      <c r="H139" s="35" t="s">
        <v>20</v>
      </c>
      <c r="I139" s="36"/>
      <c r="J139" s="35">
        <v>30189338</v>
      </c>
      <c r="K139" s="35" t="s">
        <v>164</v>
      </c>
      <c r="L139" s="35" t="str">
        <f>_xlfn.XLOOKUP(Tabla2__2[[#This Row],[CODIGO RUTA]],'DATA INFORME'!I:I,'DATA INFORME'!K:K)</f>
        <v>SI</v>
      </c>
      <c r="M139" s="35" t="str">
        <f>IF(Tabla2__2[[#This Row],[MYSTERY EFECTIVO]]="SI",_xlfn.XLOOKUP(Tabla2__2[[#This Row],[PREGUNTA]],ENCUESTA!G:G,ENCUESTA!D:D),"N/A")</f>
        <v>PORTAFOLIO Y MANEJO DE OBJECIONES</v>
      </c>
      <c r="N1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39" s="35" t="str">
        <f>_xlfn.XLOOKUP(Tabla2__2[[#This Row],[PREGUNTA]],ENCUESTA!G:G,ENCUESTA!H:H)</f>
        <v>SI</v>
      </c>
      <c r="P139" s="35">
        <f>IF(Tabla2__2[[#This Row],[RTA]]=Tabla2__2[[#This Row],[RTA CORRECTA]],Tabla2__2[[#This Row],[TOTAL PUNTAJE]],0)</f>
        <v>6</v>
      </c>
      <c r="Q139" s="35">
        <f>IF(OR(H139="Dog Chow húmedo",H139="Cat Chow húmedo",H139="Fancy Feast",H139="Felix",H139="Proplan húmedo",H139="One húmedo",H139="Snack Abrazzos",H139="Snak Dentalife",H139="Arenilla Tidy Cat"),N139,0)</f>
        <v>0</v>
      </c>
      <c r="R139" s="35"/>
    </row>
    <row r="140" spans="1:18" x14ac:dyDescent="0.35">
      <c r="A140" s="35" t="s">
        <v>95</v>
      </c>
      <c r="B140" s="35" t="s">
        <v>100</v>
      </c>
      <c r="C140" t="s">
        <v>41</v>
      </c>
      <c r="D140" s="35" t="s">
        <v>101</v>
      </c>
      <c r="E140" s="35">
        <v>66552</v>
      </c>
      <c r="F140" s="35" t="s">
        <v>158</v>
      </c>
      <c r="G140" s="35" t="s">
        <v>113</v>
      </c>
      <c r="H140" s="35" t="s">
        <v>149</v>
      </c>
      <c r="I140" s="36"/>
      <c r="J140" s="35">
        <v>30189338</v>
      </c>
      <c r="K140" s="35" t="s">
        <v>164</v>
      </c>
      <c r="L140" s="35" t="str">
        <f>_xlfn.XLOOKUP(Tabla2__2[[#This Row],[CODIGO RUTA]],'DATA INFORME'!I:I,'DATA INFORME'!K:K)</f>
        <v>SI</v>
      </c>
      <c r="M140" s="35" t="str">
        <f>IF(Tabla2__2[[#This Row],[MYSTERY EFECTIVO]]="SI",_xlfn.XLOOKUP(Tabla2__2[[#This Row],[PREGUNTA]],ENCUESTA!G:G,ENCUESTA!D:D),"N/A")</f>
        <v>N/A</v>
      </c>
      <c r="N1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0" s="35">
        <f>_xlfn.XLOOKUP(Tabla2__2[[#This Row],[PREGUNTA]],ENCUESTA!G:G,ENCUESTA!H:H)</f>
        <v>0</v>
      </c>
      <c r="P140" s="35">
        <f>IF(Tabla2__2[[#This Row],[RTA]]=Tabla2__2[[#This Row],[RTA CORRECTA]],Tabla2__2[[#This Row],[TOTAL PUNTAJE]],0)</f>
        <v>0</v>
      </c>
      <c r="Q140" s="35">
        <f>IF(OR(H140="Dog Chow húmedo",H140="Cat Chow húmedo",H140="Fancy Feast",H140="Felix",H140="Proplan húmedo",H140="One húmedo",H140="Snack Abrazzos",H140="Snak Dentalife",H140="Arenilla Tidy Cat"),N140,0)</f>
        <v>0</v>
      </c>
      <c r="R140" s="35"/>
    </row>
    <row r="141" spans="1:18" x14ac:dyDescent="0.35">
      <c r="A141" s="35" t="s">
        <v>95</v>
      </c>
      <c r="B141" s="35" t="s">
        <v>100</v>
      </c>
      <c r="C141" t="s">
        <v>41</v>
      </c>
      <c r="D141" s="35" t="s">
        <v>101</v>
      </c>
      <c r="E141" s="35">
        <v>66552</v>
      </c>
      <c r="F141" s="35" t="s">
        <v>158</v>
      </c>
      <c r="G141" s="35" t="s">
        <v>114</v>
      </c>
      <c r="H141" s="35" t="s">
        <v>20</v>
      </c>
      <c r="I141" s="36"/>
      <c r="J141" s="35">
        <v>30189338</v>
      </c>
      <c r="K141" s="35" t="s">
        <v>164</v>
      </c>
      <c r="L141" s="35" t="str">
        <f>_xlfn.XLOOKUP(Tabla2__2[[#This Row],[CODIGO RUTA]],'DATA INFORME'!I:I,'DATA INFORME'!K:K)</f>
        <v>SI</v>
      </c>
      <c r="M141" s="35" t="str">
        <f>IF(Tabla2__2[[#This Row],[MYSTERY EFECTIVO]]="SI",_xlfn.XLOOKUP(Tabla2__2[[#This Row],[PREGUNTA]],ENCUESTA!G:G,ENCUESTA!D:D),"N/A")</f>
        <v>LABOR DE VENTA</v>
      </c>
      <c r="N1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41" s="35" t="str">
        <f>_xlfn.XLOOKUP(Tabla2__2[[#This Row],[PREGUNTA]],ENCUESTA!G:G,ENCUESTA!H:H)</f>
        <v>SI</v>
      </c>
      <c r="P141" s="35">
        <f>IF(Tabla2__2[[#This Row],[RTA]]=Tabla2__2[[#This Row],[RTA CORRECTA]],Tabla2__2[[#This Row],[TOTAL PUNTAJE]],0)</f>
        <v>3.75</v>
      </c>
      <c r="Q141" s="35">
        <f>IF(OR(H141="Dog Chow húmedo",H141="Cat Chow húmedo",H141="Fancy Feast",H141="Felix",H141="Proplan húmedo",H141="One húmedo",H141="Snack Abrazzos",H141="Snak Dentalife",H141="Arenilla Tidy Cat"),N141,0)</f>
        <v>0</v>
      </c>
      <c r="R141" s="35"/>
    </row>
    <row r="142" spans="1:18" x14ac:dyDescent="0.35">
      <c r="A142" s="35" t="s">
        <v>95</v>
      </c>
      <c r="B142" s="35" t="s">
        <v>100</v>
      </c>
      <c r="C142" t="s">
        <v>41</v>
      </c>
      <c r="D142" s="35" t="s">
        <v>101</v>
      </c>
      <c r="E142" s="35">
        <v>66552</v>
      </c>
      <c r="F142" s="35" t="s">
        <v>158</v>
      </c>
      <c r="G142" s="35" t="s">
        <v>128</v>
      </c>
      <c r="H142" s="35" t="s">
        <v>20</v>
      </c>
      <c r="I142" s="36"/>
      <c r="J142" s="35">
        <v>30189338</v>
      </c>
      <c r="K142" s="35" t="s">
        <v>164</v>
      </c>
      <c r="L142" s="35" t="str">
        <f>_xlfn.XLOOKUP(Tabla2__2[[#This Row],[CODIGO RUTA]],'DATA INFORME'!I:I,'DATA INFORME'!K:K)</f>
        <v>SI</v>
      </c>
      <c r="M142" s="35" t="str">
        <f>IF(Tabla2__2[[#This Row],[MYSTERY EFECTIVO]]="SI",_xlfn.XLOOKUP(Tabla2__2[[#This Row],[PREGUNTA]],ENCUESTA!G:G,ENCUESTA!D:D),"N/A")</f>
        <v>LABOR DE VENTA</v>
      </c>
      <c r="N1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42" s="35" t="str">
        <f>_xlfn.XLOOKUP(Tabla2__2[[#This Row],[PREGUNTA]],ENCUESTA!G:G,ENCUESTA!H:H)</f>
        <v>SI</v>
      </c>
      <c r="P142" s="35">
        <f>IF(Tabla2__2[[#This Row],[RTA]]=Tabla2__2[[#This Row],[RTA CORRECTA]],Tabla2__2[[#This Row],[TOTAL PUNTAJE]],0)</f>
        <v>3.75</v>
      </c>
      <c r="Q142" s="35">
        <f>IF(OR(H142="Dog Chow húmedo",H142="Cat Chow húmedo",H142="Fancy Feast",H142="Felix",H142="Proplan húmedo",H142="One húmedo",H142="Snack Abrazzos",H142="Snak Dentalife",H142="Arenilla Tidy Cat"),N142,0)</f>
        <v>0</v>
      </c>
      <c r="R142" s="35"/>
    </row>
    <row r="143" spans="1:18" x14ac:dyDescent="0.35">
      <c r="A143" s="35" t="s">
        <v>95</v>
      </c>
      <c r="B143" s="35" t="s">
        <v>100</v>
      </c>
      <c r="C143" t="s">
        <v>41</v>
      </c>
      <c r="D143" s="35" t="s">
        <v>101</v>
      </c>
      <c r="E143" s="35">
        <v>66552</v>
      </c>
      <c r="F143" s="35" t="s">
        <v>158</v>
      </c>
      <c r="G143" s="35" t="s">
        <v>115</v>
      </c>
      <c r="H143" s="35" t="s">
        <v>20</v>
      </c>
      <c r="I143" s="36"/>
      <c r="J143" s="35">
        <v>30189338</v>
      </c>
      <c r="K143" s="35" t="s">
        <v>164</v>
      </c>
      <c r="L143" s="35" t="str">
        <f>_xlfn.XLOOKUP(Tabla2__2[[#This Row],[CODIGO RUTA]],'DATA INFORME'!I:I,'DATA INFORME'!K:K)</f>
        <v>SI</v>
      </c>
      <c r="M143" s="35" t="str">
        <f>IF(Tabla2__2[[#This Row],[MYSTERY EFECTIVO]]="SI",_xlfn.XLOOKUP(Tabla2__2[[#This Row],[PREGUNTA]],ENCUESTA!G:G,ENCUESTA!D:D),"N/A")</f>
        <v>LABOR DE VENTA</v>
      </c>
      <c r="N1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43" s="35" t="str">
        <f>_xlfn.XLOOKUP(Tabla2__2[[#This Row],[PREGUNTA]],ENCUESTA!G:G,ENCUESTA!H:H)</f>
        <v>SI</v>
      </c>
      <c r="P143" s="35">
        <f>IF(Tabla2__2[[#This Row],[RTA]]=Tabla2__2[[#This Row],[RTA CORRECTA]],Tabla2__2[[#This Row],[TOTAL PUNTAJE]],0)</f>
        <v>3.75</v>
      </c>
      <c r="Q143" s="35">
        <f>IF(OR(H143="Dog Chow húmedo",H143="Cat Chow húmedo",H143="Fancy Feast",H143="Felix",H143="Proplan húmedo",H143="One húmedo",H143="Snack Abrazzos",H143="Snak Dentalife",H143="Arenilla Tidy Cat"),N143,0)</f>
        <v>0</v>
      </c>
      <c r="R143" s="35"/>
    </row>
    <row r="144" spans="1:18" x14ac:dyDescent="0.35">
      <c r="A144" s="35" t="s">
        <v>95</v>
      </c>
      <c r="B144" s="35" t="s">
        <v>100</v>
      </c>
      <c r="C144" t="s">
        <v>41</v>
      </c>
      <c r="D144" s="35" t="s">
        <v>101</v>
      </c>
      <c r="E144" s="35">
        <v>66552</v>
      </c>
      <c r="F144" s="35" t="s">
        <v>158</v>
      </c>
      <c r="G144" s="35" t="s">
        <v>116</v>
      </c>
      <c r="H144" s="35" t="s">
        <v>20</v>
      </c>
      <c r="I144" s="36"/>
      <c r="J144" s="35">
        <v>30189338</v>
      </c>
      <c r="K144" s="35" t="s">
        <v>164</v>
      </c>
      <c r="L144" s="35" t="str">
        <f>_xlfn.XLOOKUP(Tabla2__2[[#This Row],[CODIGO RUTA]],'DATA INFORME'!I:I,'DATA INFORME'!K:K)</f>
        <v>SI</v>
      </c>
      <c r="M144" s="35" t="str">
        <f>IF(Tabla2__2[[#This Row],[MYSTERY EFECTIVO]]="SI",_xlfn.XLOOKUP(Tabla2__2[[#This Row],[PREGUNTA]],ENCUESTA!G:G,ENCUESTA!D:D),"N/A")</f>
        <v>LABOR DE VENTA</v>
      </c>
      <c r="N1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44" s="35" t="str">
        <f>_xlfn.XLOOKUP(Tabla2__2[[#This Row],[PREGUNTA]],ENCUESTA!G:G,ENCUESTA!H:H)</f>
        <v>SI</v>
      </c>
      <c r="P144" s="35">
        <f>IF(Tabla2__2[[#This Row],[RTA]]=Tabla2__2[[#This Row],[RTA CORRECTA]],Tabla2__2[[#This Row],[TOTAL PUNTAJE]],0)</f>
        <v>3.75</v>
      </c>
      <c r="Q144" s="35">
        <f>IF(OR(H144="Dog Chow húmedo",H144="Cat Chow húmedo",H144="Fancy Feast",H144="Felix",H144="Proplan húmedo",H144="One húmedo",H144="Snack Abrazzos",H144="Snak Dentalife",H144="Arenilla Tidy Cat"),N144,0)</f>
        <v>0</v>
      </c>
      <c r="R144" s="35"/>
    </row>
    <row r="145" spans="1:18" x14ac:dyDescent="0.35">
      <c r="A145" s="35" t="s">
        <v>95</v>
      </c>
      <c r="B145" s="35" t="s">
        <v>100</v>
      </c>
      <c r="C145" t="s">
        <v>41</v>
      </c>
      <c r="D145" s="35" t="s">
        <v>101</v>
      </c>
      <c r="E145" s="35">
        <v>66552</v>
      </c>
      <c r="F145" s="35" t="s">
        <v>158</v>
      </c>
      <c r="G145" s="35" t="s">
        <v>117</v>
      </c>
      <c r="H145" s="35" t="s">
        <v>94</v>
      </c>
      <c r="I145" s="36"/>
      <c r="J145" s="35">
        <v>30189338</v>
      </c>
      <c r="K145" s="35" t="s">
        <v>164</v>
      </c>
      <c r="L145" s="35" t="str">
        <f>_xlfn.XLOOKUP(Tabla2__2[[#This Row],[CODIGO RUTA]],'DATA INFORME'!I:I,'DATA INFORME'!K:K)</f>
        <v>SI</v>
      </c>
      <c r="M145" s="35" t="str">
        <f>IF(Tabla2__2[[#This Row],[MYSTERY EFECTIVO]]="SI",_xlfn.XLOOKUP(Tabla2__2[[#This Row],[PREGUNTA]],ENCUESTA!G:G,ENCUESTA!D:D),"N/A")</f>
        <v>N/A</v>
      </c>
      <c r="N1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5" s="35">
        <f>_xlfn.XLOOKUP(Tabla2__2[[#This Row],[PREGUNTA]],ENCUESTA!G:G,ENCUESTA!H:H)</f>
        <v>0</v>
      </c>
      <c r="P145" s="35">
        <f>IF(Tabla2__2[[#This Row],[RTA]]=Tabla2__2[[#This Row],[RTA CORRECTA]],Tabla2__2[[#This Row],[TOTAL PUNTAJE]],0)</f>
        <v>0</v>
      </c>
      <c r="Q145" s="35">
        <f>IF(OR(H145="Dog Chow húmedo",H145="Cat Chow húmedo",H145="Fancy Feast",H145="Felix",H145="Proplan húmedo",H145="One húmedo",H145="Snack Abrazzos",H145="Snak Dentalife",H145="Arenilla Tidy Cat"),N145,0)</f>
        <v>0</v>
      </c>
      <c r="R145" s="35"/>
    </row>
    <row r="146" spans="1:18" x14ac:dyDescent="0.35">
      <c r="A146" s="35" t="s">
        <v>95</v>
      </c>
      <c r="B146" s="35" t="s">
        <v>100</v>
      </c>
      <c r="C146" t="s">
        <v>41</v>
      </c>
      <c r="D146" s="35" t="s">
        <v>101</v>
      </c>
      <c r="E146" s="35">
        <v>66552</v>
      </c>
      <c r="F146" s="35" t="s">
        <v>158</v>
      </c>
      <c r="G146" s="35" t="s">
        <v>90</v>
      </c>
      <c r="H146" s="35" t="s">
        <v>94</v>
      </c>
      <c r="I146" s="36"/>
      <c r="J146" s="35">
        <v>30189338</v>
      </c>
      <c r="K146" s="35" t="s">
        <v>164</v>
      </c>
      <c r="L146" s="35" t="str">
        <f>_xlfn.XLOOKUP(Tabla2__2[[#This Row],[CODIGO RUTA]],'DATA INFORME'!I:I,'DATA INFORME'!K:K)</f>
        <v>SI</v>
      </c>
      <c r="M146" s="35" t="str">
        <f>IF(Tabla2__2[[#This Row],[MYSTERY EFECTIVO]]="SI",_xlfn.XLOOKUP(Tabla2__2[[#This Row],[PREGUNTA]],ENCUESTA!G:G,ENCUESTA!D:D),"N/A")</f>
        <v>UNIFORME</v>
      </c>
      <c r="N1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6" s="35" t="str">
        <f>_xlfn.XLOOKUP(Tabla2__2[[#This Row],[PREGUNTA]],ENCUESTA!G:G,ENCUESTA!H:H)</f>
        <v>NO</v>
      </c>
      <c r="P146" s="35">
        <f>IF(Tabla2__2[[#This Row],[RTA]]=Tabla2__2[[#This Row],[RTA CORRECTA]],Tabla2__2[[#This Row],[TOTAL PUNTAJE]],0)</f>
        <v>1.5</v>
      </c>
      <c r="Q146" s="35">
        <f>IF(OR(H146="Dog Chow húmedo",H146="Cat Chow húmedo",H146="Fancy Feast",H146="Felix",H146="Proplan húmedo",H146="One húmedo",H146="Snack Abrazzos",H146="Snak Dentalife",H146="Arenilla Tidy Cat"),N146,0)</f>
        <v>0</v>
      </c>
      <c r="R146" s="35"/>
    </row>
    <row r="147" spans="1:18" x14ac:dyDescent="0.35">
      <c r="A147" s="35" t="s">
        <v>95</v>
      </c>
      <c r="B147" s="35" t="s">
        <v>84</v>
      </c>
      <c r="C147" t="s">
        <v>14</v>
      </c>
      <c r="D147" s="35" t="s">
        <v>85</v>
      </c>
      <c r="E147" s="35">
        <v>421609</v>
      </c>
      <c r="F147" s="35" t="s">
        <v>181</v>
      </c>
      <c r="G147" s="35" t="s">
        <v>117</v>
      </c>
      <c r="H147" s="35" t="s">
        <v>94</v>
      </c>
      <c r="I147" s="36"/>
      <c r="J147" s="35">
        <v>30281524</v>
      </c>
      <c r="K147" s="35" t="s">
        <v>104</v>
      </c>
      <c r="L147" s="35" t="str">
        <f>_xlfn.XLOOKUP(Tabla2__2[[#This Row],[CODIGO RUTA]],'DATA INFORME'!I:I,'DATA INFORME'!K:K)</f>
        <v>SI</v>
      </c>
      <c r="M147" s="35" t="str">
        <f>IF(Tabla2__2[[#This Row],[MYSTERY EFECTIVO]]="SI",_xlfn.XLOOKUP(Tabla2__2[[#This Row],[PREGUNTA]],ENCUESTA!G:G,ENCUESTA!D:D),"N/A")</f>
        <v>N/A</v>
      </c>
      <c r="N1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47" s="35">
        <f>_xlfn.XLOOKUP(Tabla2__2[[#This Row],[PREGUNTA]],ENCUESTA!G:G,ENCUESTA!H:H)</f>
        <v>0</v>
      </c>
      <c r="P147" s="35">
        <f>IF(Tabla2__2[[#This Row],[RTA]]=Tabla2__2[[#This Row],[RTA CORRECTA]],Tabla2__2[[#This Row],[TOTAL PUNTAJE]],0)</f>
        <v>0</v>
      </c>
      <c r="Q147" s="35">
        <f>IF(OR(H147="Dog Chow húmedo",H147="Cat Chow húmedo",H147="Fancy Feast",H147="Felix",H147="Proplan húmedo",H147="One húmedo",H147="Snack Abrazzos",H147="Snak Dentalife",H147="Arenilla Tidy Cat"),N147,0)</f>
        <v>0</v>
      </c>
      <c r="R147" s="35"/>
    </row>
    <row r="148" spans="1:18" x14ac:dyDescent="0.35">
      <c r="A148" s="35"/>
      <c r="B148" s="35"/>
      <c r="C148" s="35"/>
      <c r="D148" s="35"/>
      <c r="E148" s="35"/>
      <c r="F148" s="35"/>
      <c r="G148" s="35"/>
      <c r="H148" s="36"/>
      <c r="I148" s="35"/>
      <c r="J148" s="35"/>
      <c r="K148" s="35"/>
      <c r="L148" s="35"/>
      <c r="M148" s="35"/>
      <c r="N148" s="35"/>
      <c r="O148" s="35"/>
      <c r="P148" s="35"/>
      <c r="Q148" s="35"/>
    </row>
    <row r="335" spans="18:18" x14ac:dyDescent="0.35">
      <c r="R335" s="35"/>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9"/>
  <sheetViews>
    <sheetView showGridLines="0" zoomScale="80" zoomScaleNormal="80" workbookViewId="0">
      <selection activeCell="A4" sqref="A4"/>
    </sheetView>
  </sheetViews>
  <sheetFormatPr baseColWidth="10" defaultColWidth="11.453125" defaultRowHeight="14.5" x14ac:dyDescent="0.35"/>
  <cols>
    <col min="1" max="1" width="17.453125" style="50" customWidth="1"/>
    <col min="2" max="2" width="18.26953125" style="50" bestFit="1" customWidth="1"/>
    <col min="3" max="3" width="14" style="51" customWidth="1"/>
    <col min="4" max="4" width="45.54296875" style="41" bestFit="1" customWidth="1"/>
    <col min="5" max="5" width="43.26953125" style="50" customWidth="1"/>
    <col min="6" max="6" width="12.453125" style="49" bestFit="1" customWidth="1"/>
    <col min="7" max="7" width="13.54296875" style="49" bestFit="1" customWidth="1"/>
    <col min="8" max="8" width="11.54296875" style="49" bestFit="1" customWidth="1"/>
    <col min="9" max="9" width="12.81640625" style="49" bestFit="1" customWidth="1"/>
    <col min="10" max="16384" width="11.453125" style="49"/>
  </cols>
  <sheetData>
    <row r="1" spans="1:9" ht="24" x14ac:dyDescent="0.35">
      <c r="A1" s="42" t="s">
        <v>22</v>
      </c>
      <c r="B1" s="42" t="s">
        <v>1</v>
      </c>
      <c r="C1" s="42" t="s">
        <v>26</v>
      </c>
      <c r="D1" s="42" t="s">
        <v>23</v>
      </c>
      <c r="E1" s="39" t="s">
        <v>36</v>
      </c>
      <c r="F1" s="6" t="s">
        <v>37</v>
      </c>
      <c r="G1" s="6" t="s">
        <v>38</v>
      </c>
      <c r="H1" s="6" t="s">
        <v>39</v>
      </c>
      <c r="I1" s="19" t="s">
        <v>40</v>
      </c>
    </row>
    <row r="2" spans="1:9" s="69" customFormat="1" x14ac:dyDescent="0.35">
      <c r="A2" s="54" t="str">
        <f>_xlfn.XLOOKUP(Tabla1[[#This Row],[CODIGO PDV]],Export!H:H,Export!D:D,0)</f>
        <v>ESPECIALIZADO</v>
      </c>
      <c r="B2" s="54" t="s">
        <v>84</v>
      </c>
      <c r="C2" s="54">
        <v>421609</v>
      </c>
      <c r="D2" s="46" t="s">
        <v>181</v>
      </c>
      <c r="E2" s="40">
        <v>1</v>
      </c>
      <c r="F2" s="47">
        <v>1</v>
      </c>
      <c r="G2" s="47">
        <f>IF(COUNTIFS(Export!I:I,Tabla1[[#This Row],[CODIGO PDV]])&gt;0,1,0)</f>
        <v>1</v>
      </c>
      <c r="H2" s="21">
        <f>COUNTIFS('DATA INFORME'!D:D,Tabla1[[#This Row],[CODIGO PDV]])</f>
        <v>1</v>
      </c>
      <c r="I2" s="48">
        <f>COUNTIFS('DATA INFORME'!D:D,Tabla1[[#This Row],[CODIGO PDV]],'DATA INFORME'!K:K,"SI")</f>
        <v>1</v>
      </c>
    </row>
    <row r="3" spans="1:9" s="69" customFormat="1" x14ac:dyDescent="0.35">
      <c r="A3" s="75" t="str">
        <f>_xlfn.XLOOKUP(Tabla1[[#This Row],[CODIGO PDV]],Export!H:H,Export!D:D,0)</f>
        <v>ESPECIALIZADO</v>
      </c>
      <c r="B3" s="64" t="s">
        <v>8</v>
      </c>
      <c r="C3" s="65">
        <v>424858</v>
      </c>
      <c r="D3" s="66" t="s">
        <v>151</v>
      </c>
      <c r="E3" s="21">
        <v>1</v>
      </c>
      <c r="F3" s="47">
        <v>1</v>
      </c>
      <c r="G3" s="47">
        <f>IF(COUNTIFS(Export!I:I,Tabla1[[#This Row],[CODIGO PDV]])&gt;0,1,0)</f>
        <v>1</v>
      </c>
      <c r="H3" s="21">
        <f>COUNTIFS('DATA INFORME'!D:D,Tabla1[[#This Row],[CODIGO PDV]])</f>
        <v>1</v>
      </c>
      <c r="I3" s="48">
        <f>COUNTIFS('DATA INFORME'!D:D,Tabla1[[#This Row],[CODIGO PDV]],'DATA INFORME'!K:K,"SI")</f>
        <v>1</v>
      </c>
    </row>
    <row r="4" spans="1:9" s="69" customFormat="1" x14ac:dyDescent="0.35">
      <c r="A4" s="75" t="str">
        <f>_xlfn.XLOOKUP(Tabla1[[#This Row],[CODIGO PDV]],Export!H:H,Export!D:D,0)</f>
        <v>TRADICIONAL</v>
      </c>
      <c r="B4" s="64" t="s">
        <v>100</v>
      </c>
      <c r="C4" s="65">
        <v>66552</v>
      </c>
      <c r="D4" s="66" t="s">
        <v>158</v>
      </c>
      <c r="E4" s="21">
        <v>1</v>
      </c>
      <c r="F4" s="47">
        <v>1</v>
      </c>
      <c r="G4" s="47">
        <f>IF(COUNTIFS(Export!I:I,Tabla1[[#This Row],[CODIGO PDV]])&gt;0,1,0)</f>
        <v>1</v>
      </c>
      <c r="H4" s="21">
        <f>COUNTIFS('DATA INFORME'!D:D,Tabla1[[#This Row],[CODIGO PDV]])</f>
        <v>1</v>
      </c>
      <c r="I4" s="48">
        <f>COUNTIFS('DATA INFORME'!D:D,Tabla1[[#This Row],[CODIGO PDV]],'DATA INFORME'!K:K,"SI")</f>
        <v>1</v>
      </c>
    </row>
    <row r="5" spans="1:9" s="69" customFormat="1" x14ac:dyDescent="0.35">
      <c r="A5" s="54" t="str">
        <f>_xlfn.XLOOKUP(Tabla1[[#This Row],[CODIGO PDV]],Export!H:H,Export!D:D,0)</f>
        <v>ESPECIALIZADO</v>
      </c>
      <c r="B5" s="54" t="s">
        <v>100</v>
      </c>
      <c r="C5" s="54">
        <v>424808</v>
      </c>
      <c r="D5" s="46" t="s">
        <v>168</v>
      </c>
      <c r="E5" s="21">
        <v>1</v>
      </c>
      <c r="F5" s="47">
        <v>1</v>
      </c>
      <c r="G5" s="47">
        <f>IF(COUNTIFS(Export!I:I,Tabla1[[#This Row],[CODIGO PDV]])&gt;0,1,0)</f>
        <v>1</v>
      </c>
      <c r="H5" s="21">
        <f>COUNTIFS('DATA INFORME'!D:D,Tabla1[[#This Row],[CODIGO PDV]])</f>
        <v>1</v>
      </c>
      <c r="I5" s="48">
        <f>COUNTIFS('DATA INFORME'!D:D,Tabla1[[#This Row],[CODIGO PDV]],'DATA INFORME'!K:K,"SI")</f>
        <v>1</v>
      </c>
    </row>
    <row r="6" spans="1:9" s="69" customFormat="1" x14ac:dyDescent="0.35">
      <c r="A6" s="54" t="str">
        <f>_xlfn.XLOOKUP(Tabla1[[#This Row],[CODIGO PDV]],Export!H:H,Export!D:D,0)</f>
        <v>MODERNO</v>
      </c>
      <c r="B6" s="54" t="s">
        <v>173</v>
      </c>
      <c r="C6" s="54">
        <v>424810</v>
      </c>
      <c r="D6" s="46" t="s">
        <v>175</v>
      </c>
      <c r="E6" s="40">
        <v>1</v>
      </c>
      <c r="F6" s="47">
        <v>1</v>
      </c>
      <c r="G6" s="47">
        <f>IF(COUNTIFS(Export!I:I,Tabla1[[#This Row],[CODIGO PDV]])&gt;0,1,0)</f>
        <v>1</v>
      </c>
      <c r="H6" s="21">
        <f>COUNTIFS('DATA INFORME'!D:D,Tabla1[[#This Row],[CODIGO PDV]])</f>
        <v>1</v>
      </c>
      <c r="I6" s="48">
        <f>COUNTIFS('DATA INFORME'!D:D,Tabla1[[#This Row],[CODIGO PDV]],'DATA INFORME'!K:K,"SI")</f>
        <v>1</v>
      </c>
    </row>
    <row r="7" spans="1:9" x14ac:dyDescent="0.35">
      <c r="A7" s="46"/>
      <c r="B7" s="46"/>
      <c r="C7" s="46"/>
      <c r="D7" s="46"/>
      <c r="E7" s="76"/>
      <c r="F7" s="52"/>
      <c r="G7" s="52"/>
      <c r="H7" s="53"/>
      <c r="I7" s="53"/>
    </row>
    <row r="8" spans="1:9" x14ac:dyDescent="0.35">
      <c r="A8" s="68"/>
      <c r="B8" s="59"/>
      <c r="C8" s="60"/>
      <c r="D8" s="61"/>
      <c r="E8" s="53"/>
      <c r="F8" s="52"/>
      <c r="G8" s="52"/>
      <c r="H8" s="53"/>
      <c r="I8" s="53"/>
    </row>
    <row r="9" spans="1:9" x14ac:dyDescent="0.35">
      <c r="A9" s="55"/>
      <c r="B9" s="55"/>
      <c r="C9" s="55"/>
      <c r="D9" s="55"/>
      <c r="E9" s="55"/>
      <c r="F9" s="46"/>
      <c r="G9" s="46"/>
      <c r="H9" s="46"/>
      <c r="I9" s="46"/>
    </row>
  </sheetData>
  <phoneticPr fontId="3" type="noConversion"/>
  <conditionalFormatting sqref="C2:C8">
    <cfRule type="duplicateValues" dxfId="329" priority="199"/>
  </conditionalFormatting>
  <conditionalFormatting sqref="D1">
    <cfRule type="duplicateValues" dxfId="328" priority="39"/>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X6"/>
  <sheetViews>
    <sheetView zoomScale="80" zoomScaleNormal="80" workbookViewId="0">
      <selection activeCell="E5" sqref="E5"/>
    </sheetView>
  </sheetViews>
  <sheetFormatPr baseColWidth="10" defaultRowHeight="14.5" x14ac:dyDescent="0.35"/>
  <cols>
    <col min="1" max="2" width="14.1796875" bestFit="1" customWidth="1"/>
    <col min="3" max="3" width="11.08984375" bestFit="1" customWidth="1"/>
    <col min="4" max="4" width="15" bestFit="1" customWidth="1"/>
    <col min="5" max="5" width="31.6328125" bestFit="1" customWidth="1"/>
    <col min="6" max="6" width="26.1796875" bestFit="1" customWidth="1"/>
    <col min="7" max="7" width="30.54296875" bestFit="1" customWidth="1"/>
    <col min="8" max="8" width="15.6328125" bestFit="1" customWidth="1"/>
    <col min="9" max="9" width="15.90625" bestFit="1" customWidth="1"/>
    <col min="10" max="10" width="14.54296875" bestFit="1" customWidth="1"/>
    <col min="11" max="11" width="32.36328125" bestFit="1" customWidth="1"/>
    <col min="12" max="12" width="52.7265625" bestFit="1" customWidth="1"/>
    <col min="13" max="14" width="80.7265625" bestFit="1" customWidth="1"/>
    <col min="15" max="15" width="47.54296875" bestFit="1" customWidth="1"/>
    <col min="16" max="16" width="80.7265625" bestFit="1" customWidth="1"/>
    <col min="17" max="17" width="64.54296875" bestFit="1" customWidth="1"/>
    <col min="18" max="18" width="50.1796875" bestFit="1" customWidth="1"/>
    <col min="19" max="19" width="77" bestFit="1" customWidth="1"/>
    <col min="20" max="20" width="80.453125" bestFit="1" customWidth="1"/>
    <col min="21" max="21" width="78.90625" bestFit="1" customWidth="1"/>
    <col min="22" max="22" width="62.36328125" bestFit="1" customWidth="1"/>
    <col min="23" max="23" width="48.90625" bestFit="1" customWidth="1"/>
    <col min="24" max="25" width="80.7265625" bestFit="1" customWidth="1"/>
    <col min="26" max="26" width="42.08984375" bestFit="1" customWidth="1"/>
    <col min="27" max="27" width="80.26953125" bestFit="1" customWidth="1"/>
    <col min="28" max="32" width="80.7265625" bestFit="1" customWidth="1"/>
    <col min="33" max="33" width="48.6328125" bestFit="1" customWidth="1"/>
    <col min="34" max="34" width="45.08984375" bestFit="1" customWidth="1"/>
    <col min="35" max="35" width="80.7265625" bestFit="1" customWidth="1"/>
    <col min="36" max="36" width="26.08984375" bestFit="1" customWidth="1"/>
    <col min="37" max="37" width="76.6328125" bestFit="1" customWidth="1"/>
    <col min="38" max="38" width="72.81640625" bestFit="1" customWidth="1"/>
    <col min="39" max="41" width="80.7265625" bestFit="1" customWidth="1"/>
    <col min="42" max="42" width="56.36328125" bestFit="1" customWidth="1"/>
    <col min="43" max="47" width="80.7265625" bestFit="1" customWidth="1"/>
    <col min="48" max="48" width="58.6328125" bestFit="1" customWidth="1"/>
    <col min="49" max="49" width="52.08984375" bestFit="1" customWidth="1"/>
    <col min="50" max="51" width="50.08984375" bestFit="1" customWidth="1"/>
    <col min="52" max="54" width="81.1796875" bestFit="1" customWidth="1"/>
    <col min="55" max="55" width="63.1796875" bestFit="1" customWidth="1"/>
    <col min="56" max="56" width="56.1796875" bestFit="1" customWidth="1"/>
    <col min="57" max="57" width="53.7265625" bestFit="1" customWidth="1"/>
    <col min="58" max="58" width="81.1796875" bestFit="1" customWidth="1"/>
    <col min="59" max="65" width="81.1796875" customWidth="1"/>
    <col min="66" max="66" width="51.54296875" bestFit="1" customWidth="1"/>
    <col min="67" max="67" width="47.54296875" bestFit="1" customWidth="1"/>
    <col min="68" max="68" width="51" bestFit="1" customWidth="1"/>
    <col min="69" max="69" width="27.54296875" bestFit="1" customWidth="1"/>
    <col min="70" max="70" width="81.1796875" customWidth="1"/>
    <col min="71" max="71" width="77.81640625" bestFit="1" customWidth="1"/>
    <col min="72" max="72" width="28.453125" bestFit="1" customWidth="1"/>
    <col min="73" max="73" width="79.1796875" bestFit="1" customWidth="1"/>
    <col min="74" max="79" width="81.1796875" customWidth="1"/>
    <col min="80" max="80" width="66.7265625" bestFit="1" customWidth="1"/>
    <col min="81" max="81" width="48.54296875" bestFit="1" customWidth="1"/>
    <col min="82" max="87" width="81.1796875" bestFit="1" customWidth="1"/>
    <col min="88" max="88" width="44.26953125" bestFit="1" customWidth="1"/>
    <col min="89" max="89" width="81.1796875" bestFit="1" customWidth="1"/>
    <col min="90" max="90" width="60.1796875" bestFit="1" customWidth="1"/>
    <col min="91" max="91" width="79.7265625" bestFit="1" customWidth="1"/>
    <col min="92" max="93" width="81.1796875" bestFit="1" customWidth="1"/>
    <col min="94" max="94" width="54.81640625" bestFit="1" customWidth="1"/>
    <col min="95" max="95" width="57.54296875" bestFit="1" customWidth="1"/>
    <col min="96" max="96" width="50.81640625" bestFit="1" customWidth="1"/>
    <col min="97" max="97" width="50.453125" bestFit="1" customWidth="1"/>
    <col min="98" max="98" width="41.54296875" bestFit="1" customWidth="1"/>
    <col min="99" max="99" width="78.54296875" bestFit="1" customWidth="1"/>
    <col min="100" max="100" width="81.1796875" bestFit="1" customWidth="1"/>
    <col min="101" max="101" width="78.26953125" bestFit="1" customWidth="1"/>
    <col min="102" max="102" width="70.453125" bestFit="1" customWidth="1"/>
    <col min="103" max="103" width="81.1796875" bestFit="1" customWidth="1"/>
    <col min="104" max="104" width="46.54296875" bestFit="1" customWidth="1"/>
    <col min="105" max="105" width="50.453125" bestFit="1" customWidth="1"/>
    <col min="106" max="106" width="25" bestFit="1" customWidth="1"/>
    <col min="107" max="107" width="38.54296875" bestFit="1" customWidth="1"/>
    <col min="108" max="108" width="37.7265625" bestFit="1" customWidth="1"/>
    <col min="109" max="109" width="33" bestFit="1" customWidth="1"/>
    <col min="110" max="110" width="24.54296875" bestFit="1" customWidth="1"/>
    <col min="111" max="111" width="38" bestFit="1" customWidth="1"/>
    <col min="112" max="112" width="81.1796875" bestFit="1" customWidth="1"/>
    <col min="113" max="113" width="62.81640625" bestFit="1" customWidth="1"/>
    <col min="114" max="114" width="36.453125" bestFit="1" customWidth="1"/>
    <col min="115" max="116" width="17.54296875" bestFit="1" customWidth="1"/>
    <col min="117" max="117" width="42.453125" bestFit="1" customWidth="1"/>
    <col min="118" max="119" width="81.1796875" bestFit="1" customWidth="1"/>
    <col min="120" max="120" width="50.81640625" bestFit="1" customWidth="1"/>
    <col min="121" max="121" width="81.1796875" bestFit="1" customWidth="1"/>
    <col min="122" max="122" width="68.54296875" bestFit="1" customWidth="1"/>
    <col min="123" max="123" width="53.26953125" bestFit="1" customWidth="1"/>
    <col min="124" max="126" width="81.1796875" bestFit="1" customWidth="1"/>
    <col min="127" max="127" width="66.7265625" bestFit="1" customWidth="1"/>
    <col min="128" max="128" width="55.81640625" bestFit="1" customWidth="1"/>
    <col min="129" max="130" width="81.1796875" bestFit="1" customWidth="1"/>
    <col min="131" max="131" width="27.453125" bestFit="1" customWidth="1"/>
    <col min="132" max="132" width="81.1796875" bestFit="1" customWidth="1"/>
    <col min="133" max="133" width="77.1796875" bestFit="1" customWidth="1"/>
    <col min="134" max="137" width="81.1796875" bestFit="1" customWidth="1"/>
    <col min="138" max="138" width="77.26953125" bestFit="1" customWidth="1"/>
    <col min="139" max="139" width="70" bestFit="1" customWidth="1"/>
    <col min="140" max="140" width="32.1796875" bestFit="1" customWidth="1"/>
    <col min="141" max="141" width="30.26953125" bestFit="1" customWidth="1"/>
    <col min="142" max="142" width="46.54296875" bestFit="1" customWidth="1"/>
    <col min="143" max="143" width="51" bestFit="1" customWidth="1"/>
    <col min="144" max="144" width="81.1796875" bestFit="1" customWidth="1"/>
    <col min="145" max="145" width="81.1796875" customWidth="1"/>
    <col min="146" max="146" width="73.1796875" bestFit="1" customWidth="1"/>
    <col min="147" max="147" width="81.1796875" bestFit="1" customWidth="1"/>
    <col min="148" max="152" width="81.1796875" customWidth="1"/>
    <col min="153" max="153" width="31.7265625" bestFit="1" customWidth="1"/>
    <col min="154" max="154" width="81.1796875" bestFit="1" customWidth="1"/>
    <col min="155" max="155" width="81.1796875" customWidth="1"/>
    <col min="156" max="156" width="10.453125" bestFit="1" customWidth="1"/>
    <col min="157" max="157" width="12.26953125" bestFit="1" customWidth="1"/>
    <col min="158" max="158" width="12.54296875" bestFit="1" customWidth="1"/>
    <col min="159" max="159" width="67.54296875" customWidth="1"/>
    <col min="160" max="164" width="80.7265625" customWidth="1"/>
    <col min="165" max="165" width="29.1796875" customWidth="1"/>
    <col min="166" max="166" width="27.26953125" customWidth="1"/>
    <col min="167" max="167" width="9.7265625" customWidth="1"/>
    <col min="168" max="168" width="11.453125" bestFit="1" customWidth="1"/>
    <col min="169" max="169" width="11.7265625" bestFit="1" customWidth="1"/>
    <col min="170" max="170" width="11.453125" bestFit="1" customWidth="1"/>
    <col min="171" max="171" width="56" bestFit="1" customWidth="1"/>
    <col min="172" max="172" width="46.1796875" bestFit="1" customWidth="1"/>
    <col min="173" max="174" width="56" bestFit="1" customWidth="1"/>
    <col min="175" max="175" width="48.26953125" bestFit="1" customWidth="1"/>
    <col min="176" max="179" width="56" bestFit="1" customWidth="1"/>
    <col min="180" max="180" width="48.81640625" bestFit="1" customWidth="1"/>
    <col min="181" max="182" width="56" bestFit="1" customWidth="1"/>
    <col min="183" max="183" width="25.26953125" bestFit="1" customWidth="1"/>
    <col min="184" max="188" width="56" bestFit="1" customWidth="1"/>
    <col min="189" max="189" width="42.453125" bestFit="1" customWidth="1"/>
    <col min="190" max="190" width="46.1796875" bestFit="1" customWidth="1"/>
    <col min="191" max="191" width="25.1796875" bestFit="1" customWidth="1"/>
    <col min="192" max="199" width="56" bestFit="1" customWidth="1"/>
    <col min="200" max="200" width="29.1796875" bestFit="1" customWidth="1"/>
    <col min="201" max="201" width="9.81640625" bestFit="1" customWidth="1"/>
    <col min="202" max="202" width="11.453125" bestFit="1" customWidth="1"/>
  </cols>
  <sheetData>
    <row r="1" spans="1:50" x14ac:dyDescent="0.35">
      <c r="A1" t="s">
        <v>24</v>
      </c>
      <c r="B1" t="s">
        <v>1</v>
      </c>
      <c r="C1" t="s">
        <v>25</v>
      </c>
      <c r="D1" t="s">
        <v>26</v>
      </c>
      <c r="E1" t="s">
        <v>23</v>
      </c>
      <c r="F1" t="s">
        <v>48</v>
      </c>
      <c r="G1" t="s">
        <v>49</v>
      </c>
      <c r="H1" t="s">
        <v>29</v>
      </c>
      <c r="I1" t="s">
        <v>30</v>
      </c>
      <c r="J1" t="s">
        <v>31</v>
      </c>
      <c r="K1" t="s">
        <v>109</v>
      </c>
      <c r="L1" t="s">
        <v>86</v>
      </c>
      <c r="M1" t="s">
        <v>87</v>
      </c>
      <c r="N1" t="s">
        <v>110</v>
      </c>
      <c r="O1" t="s">
        <v>35</v>
      </c>
      <c r="P1" t="s">
        <v>111</v>
      </c>
      <c r="Q1" t="s">
        <v>88</v>
      </c>
      <c r="R1" t="s">
        <v>89</v>
      </c>
      <c r="S1" t="s">
        <v>90</v>
      </c>
      <c r="T1" t="s">
        <v>91</v>
      </c>
      <c r="U1" t="s">
        <v>92</v>
      </c>
      <c r="V1" t="s">
        <v>93</v>
      </c>
      <c r="W1" t="s">
        <v>129</v>
      </c>
      <c r="X1" t="s">
        <v>121</v>
      </c>
      <c r="Y1" t="s">
        <v>131</v>
      </c>
      <c r="Z1" t="s">
        <v>112</v>
      </c>
      <c r="AA1" t="s">
        <v>136</v>
      </c>
      <c r="AB1" t="s">
        <v>137</v>
      </c>
      <c r="AC1" t="s">
        <v>138</v>
      </c>
      <c r="AD1" t="s">
        <v>139</v>
      </c>
      <c r="AE1" t="s">
        <v>140</v>
      </c>
      <c r="AF1" t="s">
        <v>141</v>
      </c>
      <c r="AG1" t="s">
        <v>113</v>
      </c>
      <c r="AH1" t="s">
        <v>114</v>
      </c>
      <c r="AI1" t="s">
        <v>128</v>
      </c>
      <c r="AJ1" t="s">
        <v>115</v>
      </c>
      <c r="AK1" t="s">
        <v>116</v>
      </c>
      <c r="AL1" t="s">
        <v>117</v>
      </c>
      <c r="AM1" t="s">
        <v>125</v>
      </c>
      <c r="AN1" t="s">
        <v>126</v>
      </c>
      <c r="AO1" t="s">
        <v>127</v>
      </c>
      <c r="AP1" t="s">
        <v>132</v>
      </c>
      <c r="AQ1" t="s">
        <v>133</v>
      </c>
      <c r="AR1" t="s">
        <v>134</v>
      </c>
      <c r="AS1" t="s">
        <v>144</v>
      </c>
      <c r="AT1" t="s">
        <v>145</v>
      </c>
      <c r="AU1" t="s">
        <v>135</v>
      </c>
      <c r="AV1" t="s">
        <v>122</v>
      </c>
      <c r="AW1" t="s">
        <v>123</v>
      </c>
      <c r="AX1" t="s">
        <v>124</v>
      </c>
    </row>
    <row r="2" spans="1:50" x14ac:dyDescent="0.35">
      <c r="A2" t="s">
        <v>95</v>
      </c>
      <c r="B2" t="s">
        <v>84</v>
      </c>
      <c r="C2" t="s">
        <v>85</v>
      </c>
      <c r="D2">
        <v>421609</v>
      </c>
      <c r="E2" t="s">
        <v>181</v>
      </c>
      <c r="F2">
        <v>1</v>
      </c>
      <c r="G2" t="s">
        <v>152</v>
      </c>
      <c r="H2" s="78">
        <v>46079.666168981479</v>
      </c>
      <c r="I2">
        <v>30281524</v>
      </c>
      <c r="J2" t="s">
        <v>104</v>
      </c>
      <c r="K2" t="s">
        <v>20</v>
      </c>
      <c r="L2" t="s">
        <v>20</v>
      </c>
      <c r="M2" t="s">
        <v>20</v>
      </c>
      <c r="N2" t="s">
        <v>20</v>
      </c>
      <c r="O2" t="s">
        <v>20</v>
      </c>
      <c r="P2" t="s">
        <v>94</v>
      </c>
      <c r="Q2" t="s">
        <v>20</v>
      </c>
      <c r="R2" t="s">
        <v>20</v>
      </c>
      <c r="S2" t="s">
        <v>94</v>
      </c>
      <c r="T2" t="s">
        <v>94</v>
      </c>
      <c r="U2" t="s">
        <v>94</v>
      </c>
      <c r="V2" t="s">
        <v>94</v>
      </c>
      <c r="W2" t="s">
        <v>20</v>
      </c>
      <c r="X2" t="s">
        <v>20</v>
      </c>
      <c r="Y2" t="s">
        <v>20</v>
      </c>
      <c r="Z2" t="s">
        <v>14</v>
      </c>
      <c r="AA2" t="s">
        <v>20</v>
      </c>
      <c r="AB2" t="s">
        <v>20</v>
      </c>
      <c r="AC2" t="s">
        <v>20</v>
      </c>
      <c r="AD2" t="s">
        <v>20</v>
      </c>
      <c r="AE2" t="s">
        <v>20</v>
      </c>
      <c r="AF2" t="s">
        <v>20</v>
      </c>
      <c r="AG2" t="s">
        <v>119</v>
      </c>
      <c r="AH2" t="s">
        <v>20</v>
      </c>
      <c r="AI2" t="s">
        <v>20</v>
      </c>
      <c r="AJ2" t="s">
        <v>20</v>
      </c>
      <c r="AK2" t="s">
        <v>20</v>
      </c>
      <c r="AL2" t="s">
        <v>94</v>
      </c>
      <c r="AP2" t="s">
        <v>20</v>
      </c>
      <c r="AQ2" t="s">
        <v>20</v>
      </c>
      <c r="AR2" t="s">
        <v>20</v>
      </c>
      <c r="AS2" t="s">
        <v>20</v>
      </c>
      <c r="AT2" t="s">
        <v>20</v>
      </c>
      <c r="AU2" t="s">
        <v>20</v>
      </c>
    </row>
    <row r="3" spans="1:50" x14ac:dyDescent="0.35">
      <c r="A3" t="s">
        <v>95</v>
      </c>
      <c r="B3" t="s">
        <v>8</v>
      </c>
      <c r="C3" t="s">
        <v>142</v>
      </c>
      <c r="D3">
        <v>424858</v>
      </c>
      <c r="E3" t="s">
        <v>151</v>
      </c>
      <c r="F3">
        <v>1</v>
      </c>
      <c r="G3" t="s">
        <v>152</v>
      </c>
      <c r="H3" s="78">
        <v>46065</v>
      </c>
      <c r="I3">
        <v>30182843</v>
      </c>
      <c r="J3" t="s">
        <v>98</v>
      </c>
      <c r="K3" t="s">
        <v>20</v>
      </c>
      <c r="L3" t="s">
        <v>20</v>
      </c>
      <c r="M3" t="s">
        <v>20</v>
      </c>
      <c r="N3" t="s">
        <v>20</v>
      </c>
      <c r="O3" t="s">
        <v>20</v>
      </c>
      <c r="P3" t="s">
        <v>94</v>
      </c>
      <c r="Q3" t="s">
        <v>20</v>
      </c>
      <c r="R3" t="s">
        <v>20</v>
      </c>
      <c r="S3" t="s">
        <v>94</v>
      </c>
      <c r="T3" t="s">
        <v>94</v>
      </c>
      <c r="U3" t="s">
        <v>94</v>
      </c>
      <c r="V3" t="s">
        <v>94</v>
      </c>
      <c r="W3" t="s">
        <v>20</v>
      </c>
      <c r="X3" t="s">
        <v>20</v>
      </c>
      <c r="Y3" t="s">
        <v>20</v>
      </c>
      <c r="Z3" t="s">
        <v>14</v>
      </c>
      <c r="AA3" t="s">
        <v>20</v>
      </c>
      <c r="AB3" t="s">
        <v>20</v>
      </c>
      <c r="AC3" t="s">
        <v>20</v>
      </c>
      <c r="AD3" t="s">
        <v>20</v>
      </c>
      <c r="AE3" t="s">
        <v>20</v>
      </c>
      <c r="AF3" t="s">
        <v>94</v>
      </c>
      <c r="AG3" t="s">
        <v>119</v>
      </c>
      <c r="AH3" t="s">
        <v>20</v>
      </c>
      <c r="AI3" t="s">
        <v>20</v>
      </c>
      <c r="AJ3" t="s">
        <v>20</v>
      </c>
      <c r="AK3" t="s">
        <v>20</v>
      </c>
      <c r="AL3" t="s">
        <v>94</v>
      </c>
    </row>
    <row r="4" spans="1:50" x14ac:dyDescent="0.35">
      <c r="A4" t="s">
        <v>95</v>
      </c>
      <c r="B4" t="s">
        <v>100</v>
      </c>
      <c r="C4" t="s">
        <v>101</v>
      </c>
      <c r="D4">
        <v>66552</v>
      </c>
      <c r="E4" t="s">
        <v>158</v>
      </c>
      <c r="F4">
        <v>1</v>
      </c>
      <c r="G4" t="s">
        <v>152</v>
      </c>
      <c r="H4" s="78">
        <v>46066</v>
      </c>
      <c r="I4">
        <v>30189338</v>
      </c>
      <c r="J4" t="s">
        <v>164</v>
      </c>
      <c r="K4" t="s">
        <v>20</v>
      </c>
      <c r="L4" t="s">
        <v>20</v>
      </c>
      <c r="M4" t="s">
        <v>20</v>
      </c>
      <c r="N4" t="s">
        <v>20</v>
      </c>
      <c r="O4" t="s">
        <v>20</v>
      </c>
      <c r="P4" t="s">
        <v>94</v>
      </c>
      <c r="Q4" t="s">
        <v>20</v>
      </c>
      <c r="R4" t="s">
        <v>20</v>
      </c>
      <c r="S4" t="s">
        <v>94</v>
      </c>
      <c r="T4" t="s">
        <v>94</v>
      </c>
      <c r="U4" t="s">
        <v>94</v>
      </c>
      <c r="V4" t="s">
        <v>94</v>
      </c>
      <c r="W4" t="s">
        <v>20</v>
      </c>
      <c r="X4" t="s">
        <v>20</v>
      </c>
      <c r="Y4" t="s">
        <v>20</v>
      </c>
      <c r="Z4" t="s">
        <v>41</v>
      </c>
      <c r="AG4" t="s">
        <v>149</v>
      </c>
      <c r="AH4" t="s">
        <v>20</v>
      </c>
      <c r="AI4" t="s">
        <v>20</v>
      </c>
      <c r="AJ4" t="s">
        <v>20</v>
      </c>
      <c r="AK4" t="s">
        <v>20</v>
      </c>
      <c r="AL4" t="s">
        <v>94</v>
      </c>
      <c r="AM4" t="s">
        <v>20</v>
      </c>
      <c r="AN4" t="s">
        <v>94</v>
      </c>
      <c r="AO4" t="s">
        <v>20</v>
      </c>
    </row>
    <row r="5" spans="1:50" x14ac:dyDescent="0.35">
      <c r="A5" t="s">
        <v>95</v>
      </c>
      <c r="B5" t="s">
        <v>100</v>
      </c>
      <c r="C5" t="s">
        <v>101</v>
      </c>
      <c r="D5">
        <v>424808</v>
      </c>
      <c r="E5" t="s">
        <v>168</v>
      </c>
      <c r="F5">
        <v>1</v>
      </c>
      <c r="G5" t="s">
        <v>152</v>
      </c>
      <c r="H5" s="78">
        <v>46074</v>
      </c>
      <c r="I5">
        <v>30231329</v>
      </c>
      <c r="J5" t="s">
        <v>164</v>
      </c>
      <c r="K5" t="s">
        <v>20</v>
      </c>
      <c r="L5" t="s">
        <v>20</v>
      </c>
      <c r="M5" t="s">
        <v>20</v>
      </c>
      <c r="N5" t="s">
        <v>20</v>
      </c>
      <c r="O5" t="s">
        <v>20</v>
      </c>
      <c r="P5" t="s">
        <v>94</v>
      </c>
      <c r="Q5" t="s">
        <v>20</v>
      </c>
      <c r="R5" t="s">
        <v>20</v>
      </c>
      <c r="S5" t="s">
        <v>94</v>
      </c>
      <c r="T5" t="s">
        <v>94</v>
      </c>
      <c r="U5" t="s">
        <v>94</v>
      </c>
      <c r="V5" t="s">
        <v>94</v>
      </c>
      <c r="W5" t="s">
        <v>20</v>
      </c>
      <c r="X5" t="s">
        <v>20</v>
      </c>
      <c r="Y5" t="s">
        <v>20</v>
      </c>
      <c r="Z5" t="s">
        <v>14</v>
      </c>
      <c r="AA5" t="s">
        <v>20</v>
      </c>
      <c r="AB5" t="s">
        <v>20</v>
      </c>
      <c r="AC5" t="s">
        <v>20</v>
      </c>
      <c r="AD5" t="s">
        <v>20</v>
      </c>
      <c r="AE5" t="s">
        <v>20</v>
      </c>
      <c r="AF5" t="s">
        <v>20</v>
      </c>
      <c r="AG5" t="s">
        <v>119</v>
      </c>
      <c r="AH5" t="s">
        <v>20</v>
      </c>
      <c r="AI5" t="s">
        <v>20</v>
      </c>
      <c r="AJ5" t="s">
        <v>20</v>
      </c>
      <c r="AK5" t="s">
        <v>20</v>
      </c>
      <c r="AL5" t="s">
        <v>94</v>
      </c>
    </row>
    <row r="6" spans="1:50" x14ac:dyDescent="0.35">
      <c r="A6" t="s">
        <v>95</v>
      </c>
      <c r="B6" t="s">
        <v>173</v>
      </c>
      <c r="C6" t="s">
        <v>85</v>
      </c>
      <c r="D6">
        <v>424810</v>
      </c>
      <c r="E6" t="s">
        <v>175</v>
      </c>
      <c r="F6">
        <v>1</v>
      </c>
      <c r="G6" t="s">
        <v>152</v>
      </c>
      <c r="H6" s="78">
        <v>46077</v>
      </c>
      <c r="I6">
        <v>30249632</v>
      </c>
      <c r="J6" t="s">
        <v>104</v>
      </c>
      <c r="K6" t="s">
        <v>20</v>
      </c>
      <c r="L6" t="s">
        <v>20</v>
      </c>
      <c r="M6" t="s">
        <v>20</v>
      </c>
      <c r="N6" t="s">
        <v>20</v>
      </c>
      <c r="O6" t="s">
        <v>20</v>
      </c>
      <c r="P6" t="s">
        <v>94</v>
      </c>
      <c r="Q6" t="s">
        <v>20</v>
      </c>
      <c r="R6" t="s">
        <v>20</v>
      </c>
      <c r="S6" t="s">
        <v>94</v>
      </c>
      <c r="T6" t="s">
        <v>94</v>
      </c>
      <c r="U6" t="s">
        <v>94</v>
      </c>
      <c r="V6" t="s">
        <v>94</v>
      </c>
      <c r="W6" t="s">
        <v>20</v>
      </c>
      <c r="X6" t="s">
        <v>20</v>
      </c>
      <c r="Y6" t="s">
        <v>94</v>
      </c>
      <c r="Z6" t="s">
        <v>15</v>
      </c>
      <c r="AG6" t="s">
        <v>147</v>
      </c>
      <c r="AH6" t="s">
        <v>20</v>
      </c>
      <c r="AI6" t="s">
        <v>20</v>
      </c>
      <c r="AJ6" t="s">
        <v>20</v>
      </c>
      <c r="AK6" t="s">
        <v>20</v>
      </c>
      <c r="AL6" t="s">
        <v>94</v>
      </c>
      <c r="AP6" t="s">
        <v>20</v>
      </c>
      <c r="AQ6" t="s">
        <v>20</v>
      </c>
      <c r="AR6" t="s">
        <v>20</v>
      </c>
      <c r="AS6" t="s">
        <v>20</v>
      </c>
      <c r="AT6" t="s">
        <v>20</v>
      </c>
      <c r="AU6" t="s">
        <v>20</v>
      </c>
      <c r="AV6" t="s">
        <v>20</v>
      </c>
      <c r="AW6" t="s">
        <v>20</v>
      </c>
      <c r="AX6" t="s">
        <v>20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147"/>
  <sheetViews>
    <sheetView zoomScale="80" zoomScaleNormal="80" workbookViewId="0"/>
  </sheetViews>
  <sheetFormatPr baseColWidth="10" defaultColWidth="11.453125" defaultRowHeight="14.5" x14ac:dyDescent="0.35"/>
  <cols>
    <col min="1" max="1" width="11.81640625" customWidth="1"/>
    <col min="2" max="2" width="11.453125" customWidth="1"/>
    <col min="4" max="5" width="11.453125" customWidth="1"/>
    <col min="6" max="6" width="13.1796875" customWidth="1"/>
    <col min="7" max="7" width="11.453125" style="2" customWidth="1"/>
    <col min="8" max="8" width="11.453125" customWidth="1"/>
    <col min="9" max="9" width="13.54296875" style="32" customWidth="1"/>
    <col min="10" max="10" width="32.453125" style="2" customWidth="1"/>
    <col min="11" max="11" width="13.453125" customWidth="1"/>
    <col min="12" max="12" width="18.54296875" customWidth="1"/>
    <col min="13" max="13" width="9.1796875" style="2" customWidth="1"/>
    <col min="14" max="14" width="32.1796875" customWidth="1"/>
    <col min="15" max="15" width="91.26953125" customWidth="1"/>
    <col min="16" max="16" width="30.26953125" customWidth="1"/>
    <col min="17" max="17" width="14.54296875" customWidth="1"/>
    <col min="18" max="18" width="15" customWidth="1"/>
    <col min="19" max="19" width="18.7265625" style="34" customWidth="1"/>
    <col min="20" max="20" width="18.26953125" style="2" customWidth="1"/>
    <col min="21" max="21" width="24.453125" style="2" customWidth="1"/>
    <col min="22" max="22" width="14.54296875" style="2" customWidth="1"/>
    <col min="23" max="23" width="11.453125" style="2"/>
    <col min="24" max="24" width="20" style="2" customWidth="1"/>
    <col min="25" max="25" width="20.453125" style="2" customWidth="1"/>
    <col min="26" max="26" width="18.1796875" style="2" customWidth="1"/>
    <col min="27" max="27" width="11.453125" style="2"/>
    <col min="28" max="28" width="21.54296875" style="2" customWidth="1"/>
    <col min="29" max="29" width="21.81640625" style="2" customWidth="1"/>
  </cols>
  <sheetData>
    <row r="1" spans="1:29" x14ac:dyDescent="0.35">
      <c r="A1" t="s">
        <v>24</v>
      </c>
      <c r="B1" t="s">
        <v>42</v>
      </c>
      <c r="C1" t="s">
        <v>1</v>
      </c>
      <c r="D1" t="s">
        <v>22</v>
      </c>
      <c r="E1" t="s">
        <v>25</v>
      </c>
      <c r="F1" t="s">
        <v>43</v>
      </c>
      <c r="G1" s="2" t="s">
        <v>44</v>
      </c>
      <c r="H1" t="s">
        <v>45</v>
      </c>
      <c r="I1" s="32" t="s">
        <v>26</v>
      </c>
      <c r="J1" s="2" t="s">
        <v>23</v>
      </c>
      <c r="K1" t="s">
        <v>46</v>
      </c>
      <c r="L1" t="s">
        <v>47</v>
      </c>
      <c r="M1" s="2" t="s">
        <v>48</v>
      </c>
      <c r="N1" t="s">
        <v>49</v>
      </c>
      <c r="O1" t="s">
        <v>27</v>
      </c>
      <c r="P1" t="s">
        <v>50</v>
      </c>
      <c r="Q1" t="s">
        <v>51</v>
      </c>
      <c r="R1" t="s">
        <v>52</v>
      </c>
      <c r="S1" s="34" t="s">
        <v>29</v>
      </c>
      <c r="T1" s="2" t="s">
        <v>53</v>
      </c>
      <c r="U1" s="2" t="s">
        <v>54</v>
      </c>
      <c r="V1" s="2" t="s">
        <v>30</v>
      </c>
      <c r="W1" s="2" t="s">
        <v>55</v>
      </c>
      <c r="X1" s="2" t="s">
        <v>56</v>
      </c>
      <c r="Y1" s="2" t="s">
        <v>57</v>
      </c>
      <c r="Z1" s="2" t="s">
        <v>58</v>
      </c>
      <c r="AA1" s="2" t="s">
        <v>31</v>
      </c>
      <c r="AB1" s="2" t="s">
        <v>59</v>
      </c>
      <c r="AC1" s="2" t="s">
        <v>60</v>
      </c>
    </row>
    <row r="2" spans="1:29" x14ac:dyDescent="0.35">
      <c r="A2" t="s">
        <v>95</v>
      </c>
      <c r="B2" t="s">
        <v>66</v>
      </c>
      <c r="C2" t="s">
        <v>8</v>
      </c>
      <c r="D2" t="s">
        <v>14</v>
      </c>
      <c r="E2" t="s">
        <v>142</v>
      </c>
      <c r="F2" t="s">
        <v>143</v>
      </c>
      <c r="G2" s="2" t="s">
        <v>8</v>
      </c>
      <c r="H2">
        <f>VALUE(Tabla2[[#This Row],[CODIGO PDV]])</f>
        <v>424858</v>
      </c>
      <c r="I2" s="32" t="s">
        <v>150</v>
      </c>
      <c r="J2" s="2" t="s">
        <v>151</v>
      </c>
      <c r="K2" t="s">
        <v>96</v>
      </c>
      <c r="L2" t="s">
        <v>143</v>
      </c>
      <c r="M2" s="2" t="s">
        <v>75</v>
      </c>
      <c r="N2" t="s">
        <v>152</v>
      </c>
      <c r="O2" t="s">
        <v>109</v>
      </c>
      <c r="P2" s="2" t="s">
        <v>20</v>
      </c>
      <c r="Q2" t="s">
        <v>61</v>
      </c>
      <c r="R2" t="s">
        <v>61</v>
      </c>
      <c r="S2" s="79" t="s">
        <v>153</v>
      </c>
      <c r="T2" t="s">
        <v>154</v>
      </c>
      <c r="U2" t="s">
        <v>155</v>
      </c>
      <c r="V2" s="2" t="s">
        <v>156</v>
      </c>
      <c r="W2" s="2" t="s">
        <v>62</v>
      </c>
      <c r="Z2" s="2" t="s">
        <v>97</v>
      </c>
      <c r="AA2" s="2" t="s">
        <v>98</v>
      </c>
      <c r="AB2" s="2" t="s">
        <v>63</v>
      </c>
      <c r="AC2" s="2" t="s">
        <v>64</v>
      </c>
    </row>
    <row r="3" spans="1:29" x14ac:dyDescent="0.35">
      <c r="A3" t="s">
        <v>95</v>
      </c>
      <c r="B3" t="s">
        <v>66</v>
      </c>
      <c r="C3" t="s">
        <v>8</v>
      </c>
      <c r="D3" t="s">
        <v>14</v>
      </c>
      <c r="E3" t="s">
        <v>142</v>
      </c>
      <c r="F3" t="s">
        <v>143</v>
      </c>
      <c r="G3" s="2" t="s">
        <v>8</v>
      </c>
      <c r="H3">
        <f>VALUE(Tabla2[[#This Row],[CODIGO PDV]])</f>
        <v>424858</v>
      </c>
      <c r="I3" s="32" t="s">
        <v>150</v>
      </c>
      <c r="J3" s="2" t="s">
        <v>151</v>
      </c>
      <c r="K3" t="s">
        <v>96</v>
      </c>
      <c r="L3" t="s">
        <v>143</v>
      </c>
      <c r="M3" s="2" t="s">
        <v>75</v>
      </c>
      <c r="N3" t="s">
        <v>152</v>
      </c>
      <c r="O3" t="s">
        <v>86</v>
      </c>
      <c r="P3" s="2" t="s">
        <v>20</v>
      </c>
      <c r="Q3" t="s">
        <v>61</v>
      </c>
      <c r="R3" t="s">
        <v>61</v>
      </c>
      <c r="S3" s="79" t="s">
        <v>153</v>
      </c>
      <c r="T3" t="s">
        <v>154</v>
      </c>
      <c r="U3" t="s">
        <v>155</v>
      </c>
      <c r="V3" s="2" t="s">
        <v>156</v>
      </c>
      <c r="W3" s="2" t="s">
        <v>62</v>
      </c>
      <c r="Z3" s="2" t="s">
        <v>97</v>
      </c>
      <c r="AA3" s="2" t="s">
        <v>98</v>
      </c>
      <c r="AB3" s="2" t="s">
        <v>63</v>
      </c>
      <c r="AC3" s="2" t="s">
        <v>64</v>
      </c>
    </row>
    <row r="4" spans="1:29" x14ac:dyDescent="0.35">
      <c r="A4" t="s">
        <v>95</v>
      </c>
      <c r="B4" t="s">
        <v>66</v>
      </c>
      <c r="C4" t="s">
        <v>8</v>
      </c>
      <c r="D4" t="s">
        <v>14</v>
      </c>
      <c r="E4" t="s">
        <v>142</v>
      </c>
      <c r="F4" t="s">
        <v>143</v>
      </c>
      <c r="G4" s="2" t="s">
        <v>8</v>
      </c>
      <c r="H4">
        <f>VALUE(Tabla2[[#This Row],[CODIGO PDV]])</f>
        <v>424858</v>
      </c>
      <c r="I4" s="32" t="s">
        <v>150</v>
      </c>
      <c r="J4" s="2" t="s">
        <v>151</v>
      </c>
      <c r="K4" t="s">
        <v>96</v>
      </c>
      <c r="L4" t="s">
        <v>143</v>
      </c>
      <c r="M4" s="2" t="s">
        <v>75</v>
      </c>
      <c r="N4" t="s">
        <v>152</v>
      </c>
      <c r="O4" t="s">
        <v>87</v>
      </c>
      <c r="P4" s="2" t="s">
        <v>20</v>
      </c>
      <c r="Q4" t="s">
        <v>61</v>
      </c>
      <c r="R4" t="s">
        <v>61</v>
      </c>
      <c r="S4" s="79" t="s">
        <v>153</v>
      </c>
      <c r="T4" t="s">
        <v>154</v>
      </c>
      <c r="U4" t="s">
        <v>155</v>
      </c>
      <c r="V4" s="2" t="s">
        <v>156</v>
      </c>
      <c r="W4" s="2" t="s">
        <v>62</v>
      </c>
      <c r="Z4" s="2" t="s">
        <v>97</v>
      </c>
      <c r="AA4" s="2" t="s">
        <v>98</v>
      </c>
      <c r="AB4" s="2" t="s">
        <v>63</v>
      </c>
      <c r="AC4" s="2" t="s">
        <v>64</v>
      </c>
    </row>
    <row r="5" spans="1:29" x14ac:dyDescent="0.35">
      <c r="A5" t="s">
        <v>95</v>
      </c>
      <c r="B5" t="s">
        <v>66</v>
      </c>
      <c r="C5" t="s">
        <v>8</v>
      </c>
      <c r="D5" t="s">
        <v>14</v>
      </c>
      <c r="E5" t="s">
        <v>142</v>
      </c>
      <c r="F5" t="s">
        <v>143</v>
      </c>
      <c r="G5" s="2" t="s">
        <v>8</v>
      </c>
      <c r="H5">
        <f>VALUE(Tabla2[[#This Row],[CODIGO PDV]])</f>
        <v>424858</v>
      </c>
      <c r="I5" s="32" t="s">
        <v>150</v>
      </c>
      <c r="J5" s="2" t="s">
        <v>151</v>
      </c>
      <c r="K5" t="s">
        <v>96</v>
      </c>
      <c r="L5" t="s">
        <v>143</v>
      </c>
      <c r="M5" s="2" t="s">
        <v>75</v>
      </c>
      <c r="N5" t="s">
        <v>152</v>
      </c>
      <c r="O5" t="s">
        <v>110</v>
      </c>
      <c r="P5" s="2" t="s">
        <v>20</v>
      </c>
      <c r="Q5" t="s">
        <v>61</v>
      </c>
      <c r="R5" t="s">
        <v>61</v>
      </c>
      <c r="S5" s="79" t="s">
        <v>153</v>
      </c>
      <c r="T5" t="s">
        <v>154</v>
      </c>
      <c r="U5" t="s">
        <v>155</v>
      </c>
      <c r="V5" s="2" t="s">
        <v>156</v>
      </c>
      <c r="W5" s="2" t="s">
        <v>62</v>
      </c>
      <c r="Z5" s="2" t="s">
        <v>97</v>
      </c>
      <c r="AA5" s="2" t="s">
        <v>98</v>
      </c>
      <c r="AB5" s="2" t="s">
        <v>63</v>
      </c>
      <c r="AC5" s="2" t="s">
        <v>64</v>
      </c>
    </row>
    <row r="6" spans="1:29" x14ac:dyDescent="0.35">
      <c r="A6" t="s">
        <v>95</v>
      </c>
      <c r="B6" t="s">
        <v>66</v>
      </c>
      <c r="C6" t="s">
        <v>8</v>
      </c>
      <c r="D6" t="s">
        <v>14</v>
      </c>
      <c r="E6" t="s">
        <v>142</v>
      </c>
      <c r="F6" t="s">
        <v>143</v>
      </c>
      <c r="G6" s="2" t="s">
        <v>8</v>
      </c>
      <c r="H6">
        <f>VALUE(Tabla2[[#This Row],[CODIGO PDV]])</f>
        <v>424858</v>
      </c>
      <c r="I6" s="32" t="s">
        <v>150</v>
      </c>
      <c r="J6" s="2" t="s">
        <v>151</v>
      </c>
      <c r="K6" t="s">
        <v>96</v>
      </c>
      <c r="L6" t="s">
        <v>143</v>
      </c>
      <c r="M6" s="2" t="s">
        <v>75</v>
      </c>
      <c r="N6" t="s">
        <v>152</v>
      </c>
      <c r="O6" t="s">
        <v>35</v>
      </c>
      <c r="P6" s="2" t="s">
        <v>20</v>
      </c>
      <c r="Q6" t="s">
        <v>61</v>
      </c>
      <c r="R6" t="s">
        <v>61</v>
      </c>
      <c r="S6" s="79" t="s">
        <v>153</v>
      </c>
      <c r="T6" t="s">
        <v>154</v>
      </c>
      <c r="U6" t="s">
        <v>155</v>
      </c>
      <c r="V6" s="2" t="s">
        <v>156</v>
      </c>
      <c r="W6" s="2" t="s">
        <v>62</v>
      </c>
      <c r="Z6" s="2" t="s">
        <v>97</v>
      </c>
      <c r="AA6" s="2" t="s">
        <v>98</v>
      </c>
      <c r="AB6" s="2" t="s">
        <v>63</v>
      </c>
      <c r="AC6" s="2" t="s">
        <v>64</v>
      </c>
    </row>
    <row r="7" spans="1:29" x14ac:dyDescent="0.35">
      <c r="A7" t="s">
        <v>95</v>
      </c>
      <c r="B7" t="s">
        <v>66</v>
      </c>
      <c r="C7" t="s">
        <v>8</v>
      </c>
      <c r="D7" t="s">
        <v>14</v>
      </c>
      <c r="E7" t="s">
        <v>142</v>
      </c>
      <c r="F7" t="s">
        <v>143</v>
      </c>
      <c r="G7" s="2" t="s">
        <v>8</v>
      </c>
      <c r="H7">
        <f>VALUE(Tabla2[[#This Row],[CODIGO PDV]])</f>
        <v>424858</v>
      </c>
      <c r="I7" s="32" t="s">
        <v>150</v>
      </c>
      <c r="J7" s="2" t="s">
        <v>151</v>
      </c>
      <c r="K7" t="s">
        <v>96</v>
      </c>
      <c r="L7" t="s">
        <v>143</v>
      </c>
      <c r="M7" s="2" t="s">
        <v>75</v>
      </c>
      <c r="N7" t="s">
        <v>152</v>
      </c>
      <c r="O7" t="s">
        <v>111</v>
      </c>
      <c r="P7" s="2" t="s">
        <v>94</v>
      </c>
      <c r="Q7" t="s">
        <v>61</v>
      </c>
      <c r="R7" t="s">
        <v>61</v>
      </c>
      <c r="S7" s="79" t="s">
        <v>153</v>
      </c>
      <c r="T7" t="s">
        <v>154</v>
      </c>
      <c r="U7" t="s">
        <v>155</v>
      </c>
      <c r="V7" s="2" t="s">
        <v>156</v>
      </c>
      <c r="W7" s="2" t="s">
        <v>62</v>
      </c>
      <c r="Z7" s="2" t="s">
        <v>97</v>
      </c>
      <c r="AA7" s="2" t="s">
        <v>98</v>
      </c>
      <c r="AB7" s="2" t="s">
        <v>63</v>
      </c>
      <c r="AC7" s="2" t="s">
        <v>64</v>
      </c>
    </row>
    <row r="8" spans="1:29" x14ac:dyDescent="0.35">
      <c r="A8" t="s">
        <v>95</v>
      </c>
      <c r="B8" t="s">
        <v>66</v>
      </c>
      <c r="C8" t="s">
        <v>8</v>
      </c>
      <c r="D8" t="s">
        <v>14</v>
      </c>
      <c r="E8" t="s">
        <v>142</v>
      </c>
      <c r="F8" t="s">
        <v>143</v>
      </c>
      <c r="G8" s="2" t="s">
        <v>8</v>
      </c>
      <c r="H8">
        <f>VALUE(Tabla2[[#This Row],[CODIGO PDV]])</f>
        <v>424858</v>
      </c>
      <c r="I8" s="32" t="s">
        <v>150</v>
      </c>
      <c r="J8" s="2" t="s">
        <v>151</v>
      </c>
      <c r="K8" t="s">
        <v>96</v>
      </c>
      <c r="L8" t="s">
        <v>143</v>
      </c>
      <c r="M8" s="2" t="s">
        <v>75</v>
      </c>
      <c r="N8" t="s">
        <v>152</v>
      </c>
      <c r="O8" t="s">
        <v>88</v>
      </c>
      <c r="P8" s="2" t="s">
        <v>20</v>
      </c>
      <c r="Q8" t="s">
        <v>61</v>
      </c>
      <c r="R8" t="s">
        <v>61</v>
      </c>
      <c r="S8" s="79" t="s">
        <v>153</v>
      </c>
      <c r="T8" t="s">
        <v>154</v>
      </c>
      <c r="U8" t="s">
        <v>155</v>
      </c>
      <c r="V8" s="2" t="s">
        <v>156</v>
      </c>
      <c r="W8" s="2" t="s">
        <v>62</v>
      </c>
      <c r="Z8" s="2" t="s">
        <v>97</v>
      </c>
      <c r="AA8" s="2" t="s">
        <v>98</v>
      </c>
      <c r="AB8" s="2" t="s">
        <v>63</v>
      </c>
      <c r="AC8" s="2" t="s">
        <v>64</v>
      </c>
    </row>
    <row r="9" spans="1:29" x14ac:dyDescent="0.35">
      <c r="A9" t="s">
        <v>95</v>
      </c>
      <c r="B9" t="s">
        <v>66</v>
      </c>
      <c r="C9" t="s">
        <v>8</v>
      </c>
      <c r="D9" t="s">
        <v>14</v>
      </c>
      <c r="E9" t="s">
        <v>142</v>
      </c>
      <c r="F9" t="s">
        <v>143</v>
      </c>
      <c r="G9" s="2" t="s">
        <v>8</v>
      </c>
      <c r="H9">
        <f>VALUE(Tabla2[[#This Row],[CODIGO PDV]])</f>
        <v>424858</v>
      </c>
      <c r="I9" s="32" t="s">
        <v>150</v>
      </c>
      <c r="J9" s="2" t="s">
        <v>151</v>
      </c>
      <c r="K9" t="s">
        <v>96</v>
      </c>
      <c r="L9" t="s">
        <v>143</v>
      </c>
      <c r="M9" s="2" t="s">
        <v>75</v>
      </c>
      <c r="N9" t="s">
        <v>152</v>
      </c>
      <c r="O9" t="s">
        <v>89</v>
      </c>
      <c r="P9" s="2" t="s">
        <v>20</v>
      </c>
      <c r="Q9" t="s">
        <v>61</v>
      </c>
      <c r="R9" t="s">
        <v>61</v>
      </c>
      <c r="S9" s="79" t="s">
        <v>153</v>
      </c>
      <c r="T9" t="s">
        <v>154</v>
      </c>
      <c r="U9" t="s">
        <v>155</v>
      </c>
      <c r="V9" s="2" t="s">
        <v>156</v>
      </c>
      <c r="W9" s="2" t="s">
        <v>62</v>
      </c>
      <c r="Z9" s="2" t="s">
        <v>97</v>
      </c>
      <c r="AA9" s="2" t="s">
        <v>98</v>
      </c>
      <c r="AB9" s="2" t="s">
        <v>63</v>
      </c>
      <c r="AC9" s="2" t="s">
        <v>64</v>
      </c>
    </row>
    <row r="10" spans="1:29" x14ac:dyDescent="0.35">
      <c r="A10" t="s">
        <v>95</v>
      </c>
      <c r="B10" t="s">
        <v>66</v>
      </c>
      <c r="C10" t="s">
        <v>8</v>
      </c>
      <c r="D10" t="s">
        <v>14</v>
      </c>
      <c r="E10" t="s">
        <v>142</v>
      </c>
      <c r="F10" t="s">
        <v>143</v>
      </c>
      <c r="G10" s="2" t="s">
        <v>8</v>
      </c>
      <c r="H10">
        <f>VALUE(Tabla2[[#This Row],[CODIGO PDV]])</f>
        <v>424858</v>
      </c>
      <c r="I10" s="32" t="s">
        <v>150</v>
      </c>
      <c r="J10" s="2" t="s">
        <v>151</v>
      </c>
      <c r="K10" t="s">
        <v>96</v>
      </c>
      <c r="L10" t="s">
        <v>143</v>
      </c>
      <c r="M10" s="2" t="s">
        <v>75</v>
      </c>
      <c r="N10" t="s">
        <v>152</v>
      </c>
      <c r="O10" t="s">
        <v>90</v>
      </c>
      <c r="P10" s="2" t="s">
        <v>94</v>
      </c>
      <c r="Q10" t="s">
        <v>61</v>
      </c>
      <c r="R10" t="s">
        <v>61</v>
      </c>
      <c r="S10" s="79" t="s">
        <v>153</v>
      </c>
      <c r="T10" t="s">
        <v>154</v>
      </c>
      <c r="U10" t="s">
        <v>155</v>
      </c>
      <c r="V10" s="2" t="s">
        <v>156</v>
      </c>
      <c r="W10" s="2" t="s">
        <v>62</v>
      </c>
      <c r="Z10" s="2" t="s">
        <v>97</v>
      </c>
      <c r="AA10" s="2" t="s">
        <v>98</v>
      </c>
      <c r="AB10" s="2" t="s">
        <v>63</v>
      </c>
      <c r="AC10" s="2" t="s">
        <v>64</v>
      </c>
    </row>
    <row r="11" spans="1:29" x14ac:dyDescent="0.35">
      <c r="A11" t="s">
        <v>95</v>
      </c>
      <c r="B11" t="s">
        <v>66</v>
      </c>
      <c r="C11" t="s">
        <v>8</v>
      </c>
      <c r="D11" t="s">
        <v>14</v>
      </c>
      <c r="E11" t="s">
        <v>142</v>
      </c>
      <c r="F11" t="s">
        <v>143</v>
      </c>
      <c r="G11" s="2" t="s">
        <v>8</v>
      </c>
      <c r="H11">
        <f>VALUE(Tabla2[[#This Row],[CODIGO PDV]])</f>
        <v>424858</v>
      </c>
      <c r="I11" s="32" t="s">
        <v>150</v>
      </c>
      <c r="J11" s="2" t="s">
        <v>151</v>
      </c>
      <c r="K11" t="s">
        <v>96</v>
      </c>
      <c r="L11" t="s">
        <v>143</v>
      </c>
      <c r="M11" s="2" t="s">
        <v>75</v>
      </c>
      <c r="N11" t="s">
        <v>152</v>
      </c>
      <c r="O11" t="s">
        <v>91</v>
      </c>
      <c r="P11" s="2" t="s">
        <v>94</v>
      </c>
      <c r="Q11" t="s">
        <v>61</v>
      </c>
      <c r="R11" t="s">
        <v>61</v>
      </c>
      <c r="S11" s="79" t="s">
        <v>153</v>
      </c>
      <c r="T11" t="s">
        <v>154</v>
      </c>
      <c r="U11" t="s">
        <v>155</v>
      </c>
      <c r="V11" s="2" t="s">
        <v>156</v>
      </c>
      <c r="W11" s="2" t="s">
        <v>62</v>
      </c>
      <c r="Z11" s="2" t="s">
        <v>97</v>
      </c>
      <c r="AA11" s="2" t="s">
        <v>98</v>
      </c>
      <c r="AB11" s="2" t="s">
        <v>63</v>
      </c>
      <c r="AC11" s="2" t="s">
        <v>64</v>
      </c>
    </row>
    <row r="12" spans="1:29" x14ac:dyDescent="0.35">
      <c r="A12" t="s">
        <v>95</v>
      </c>
      <c r="B12" t="s">
        <v>66</v>
      </c>
      <c r="C12" t="s">
        <v>8</v>
      </c>
      <c r="D12" t="s">
        <v>14</v>
      </c>
      <c r="E12" t="s">
        <v>142</v>
      </c>
      <c r="F12" t="s">
        <v>143</v>
      </c>
      <c r="G12" s="2" t="s">
        <v>8</v>
      </c>
      <c r="H12">
        <f>VALUE(Tabla2[[#This Row],[CODIGO PDV]])</f>
        <v>424858</v>
      </c>
      <c r="I12" s="32" t="s">
        <v>150</v>
      </c>
      <c r="J12" s="2" t="s">
        <v>151</v>
      </c>
      <c r="K12" t="s">
        <v>96</v>
      </c>
      <c r="L12" t="s">
        <v>143</v>
      </c>
      <c r="M12" s="2" t="s">
        <v>75</v>
      </c>
      <c r="N12" t="s">
        <v>152</v>
      </c>
      <c r="O12" t="s">
        <v>92</v>
      </c>
      <c r="P12" s="2" t="s">
        <v>94</v>
      </c>
      <c r="Q12" t="s">
        <v>61</v>
      </c>
      <c r="R12" t="s">
        <v>61</v>
      </c>
      <c r="S12" s="79" t="s">
        <v>153</v>
      </c>
      <c r="T12" t="s">
        <v>154</v>
      </c>
      <c r="U12" t="s">
        <v>155</v>
      </c>
      <c r="V12" s="2" t="s">
        <v>156</v>
      </c>
      <c r="W12" s="2" t="s">
        <v>62</v>
      </c>
      <c r="Z12" s="2" t="s">
        <v>97</v>
      </c>
      <c r="AA12" s="2" t="s">
        <v>98</v>
      </c>
      <c r="AB12" s="2" t="s">
        <v>63</v>
      </c>
      <c r="AC12" s="2" t="s">
        <v>64</v>
      </c>
    </row>
    <row r="13" spans="1:29" x14ac:dyDescent="0.35">
      <c r="A13" t="s">
        <v>95</v>
      </c>
      <c r="B13" t="s">
        <v>66</v>
      </c>
      <c r="C13" t="s">
        <v>8</v>
      </c>
      <c r="D13" t="s">
        <v>14</v>
      </c>
      <c r="E13" t="s">
        <v>142</v>
      </c>
      <c r="F13" t="s">
        <v>143</v>
      </c>
      <c r="G13" s="2" t="s">
        <v>8</v>
      </c>
      <c r="H13">
        <f>VALUE(Tabla2[[#This Row],[CODIGO PDV]])</f>
        <v>424858</v>
      </c>
      <c r="I13" s="32" t="s">
        <v>150</v>
      </c>
      <c r="J13" s="2" t="s">
        <v>151</v>
      </c>
      <c r="K13" t="s">
        <v>96</v>
      </c>
      <c r="L13" t="s">
        <v>143</v>
      </c>
      <c r="M13" s="2" t="s">
        <v>75</v>
      </c>
      <c r="N13" t="s">
        <v>152</v>
      </c>
      <c r="O13" t="s">
        <v>93</v>
      </c>
      <c r="P13" s="2" t="s">
        <v>94</v>
      </c>
      <c r="Q13" t="s">
        <v>61</v>
      </c>
      <c r="R13" t="s">
        <v>61</v>
      </c>
      <c r="S13" s="79" t="s">
        <v>153</v>
      </c>
      <c r="T13" t="s">
        <v>154</v>
      </c>
      <c r="U13" t="s">
        <v>155</v>
      </c>
      <c r="V13" s="2" t="s">
        <v>156</v>
      </c>
      <c r="W13" s="2" t="s">
        <v>62</v>
      </c>
      <c r="Z13" s="2" t="s">
        <v>97</v>
      </c>
      <c r="AA13" s="2" t="s">
        <v>98</v>
      </c>
      <c r="AB13" s="2" t="s">
        <v>63</v>
      </c>
      <c r="AC13" s="2" t="s">
        <v>64</v>
      </c>
    </row>
    <row r="14" spans="1:29" x14ac:dyDescent="0.35">
      <c r="A14" t="s">
        <v>95</v>
      </c>
      <c r="B14" t="s">
        <v>66</v>
      </c>
      <c r="C14" t="s">
        <v>8</v>
      </c>
      <c r="D14" t="s">
        <v>14</v>
      </c>
      <c r="E14" t="s">
        <v>142</v>
      </c>
      <c r="F14" t="s">
        <v>143</v>
      </c>
      <c r="G14" s="2" t="s">
        <v>8</v>
      </c>
      <c r="H14">
        <f>VALUE(Tabla2[[#This Row],[CODIGO PDV]])</f>
        <v>424858</v>
      </c>
      <c r="I14" s="32" t="s">
        <v>150</v>
      </c>
      <c r="J14" s="2" t="s">
        <v>151</v>
      </c>
      <c r="K14" t="s">
        <v>96</v>
      </c>
      <c r="L14" t="s">
        <v>143</v>
      </c>
      <c r="M14" s="2" t="s">
        <v>75</v>
      </c>
      <c r="N14" t="s">
        <v>152</v>
      </c>
      <c r="O14" t="s">
        <v>129</v>
      </c>
      <c r="P14" s="2" t="s">
        <v>20</v>
      </c>
      <c r="Q14" t="s">
        <v>61</v>
      </c>
      <c r="R14" t="s">
        <v>61</v>
      </c>
      <c r="S14" s="79" t="s">
        <v>153</v>
      </c>
      <c r="T14" t="s">
        <v>154</v>
      </c>
      <c r="U14" t="s">
        <v>155</v>
      </c>
      <c r="V14" s="2" t="s">
        <v>156</v>
      </c>
      <c r="W14" s="2" t="s">
        <v>62</v>
      </c>
      <c r="Z14" s="2" t="s">
        <v>97</v>
      </c>
      <c r="AA14" s="2" t="s">
        <v>98</v>
      </c>
      <c r="AB14" s="2" t="s">
        <v>63</v>
      </c>
      <c r="AC14" s="2" t="s">
        <v>64</v>
      </c>
    </row>
    <row r="15" spans="1:29" x14ac:dyDescent="0.35">
      <c r="A15" t="s">
        <v>95</v>
      </c>
      <c r="B15" t="s">
        <v>66</v>
      </c>
      <c r="C15" t="s">
        <v>8</v>
      </c>
      <c r="D15" t="s">
        <v>14</v>
      </c>
      <c r="E15" t="s">
        <v>142</v>
      </c>
      <c r="F15" t="s">
        <v>143</v>
      </c>
      <c r="G15" s="2" t="s">
        <v>8</v>
      </c>
      <c r="H15">
        <f>VALUE(Tabla2[[#This Row],[CODIGO PDV]])</f>
        <v>424858</v>
      </c>
      <c r="I15" s="32" t="s">
        <v>150</v>
      </c>
      <c r="J15" s="2" t="s">
        <v>151</v>
      </c>
      <c r="K15" t="s">
        <v>96</v>
      </c>
      <c r="L15" t="s">
        <v>143</v>
      </c>
      <c r="M15" s="2" t="s">
        <v>75</v>
      </c>
      <c r="N15" t="s">
        <v>152</v>
      </c>
      <c r="O15" t="s">
        <v>121</v>
      </c>
      <c r="P15" s="2" t="s">
        <v>20</v>
      </c>
      <c r="Q15" t="s">
        <v>61</v>
      </c>
      <c r="R15" t="s">
        <v>61</v>
      </c>
      <c r="S15" s="79" t="s">
        <v>153</v>
      </c>
      <c r="T15" t="s">
        <v>154</v>
      </c>
      <c r="U15" t="s">
        <v>155</v>
      </c>
      <c r="V15" s="2" t="s">
        <v>156</v>
      </c>
      <c r="W15" s="2" t="s">
        <v>62</v>
      </c>
      <c r="Z15" s="2" t="s">
        <v>97</v>
      </c>
      <c r="AA15" s="2" t="s">
        <v>98</v>
      </c>
      <c r="AB15" s="2" t="s">
        <v>63</v>
      </c>
      <c r="AC15" s="2" t="s">
        <v>64</v>
      </c>
    </row>
    <row r="16" spans="1:29" x14ac:dyDescent="0.35">
      <c r="A16" t="s">
        <v>95</v>
      </c>
      <c r="B16" t="s">
        <v>66</v>
      </c>
      <c r="C16" t="s">
        <v>8</v>
      </c>
      <c r="D16" t="s">
        <v>14</v>
      </c>
      <c r="E16" t="s">
        <v>142</v>
      </c>
      <c r="F16" t="s">
        <v>143</v>
      </c>
      <c r="G16" s="2" t="s">
        <v>8</v>
      </c>
      <c r="H16">
        <f>VALUE(Tabla2[[#This Row],[CODIGO PDV]])</f>
        <v>424858</v>
      </c>
      <c r="I16" s="32" t="s">
        <v>150</v>
      </c>
      <c r="J16" s="2" t="s">
        <v>151</v>
      </c>
      <c r="K16" t="s">
        <v>96</v>
      </c>
      <c r="L16" t="s">
        <v>143</v>
      </c>
      <c r="M16" s="2" t="s">
        <v>75</v>
      </c>
      <c r="N16" t="s">
        <v>152</v>
      </c>
      <c r="O16" t="s">
        <v>131</v>
      </c>
      <c r="P16" s="2" t="s">
        <v>20</v>
      </c>
      <c r="Q16" t="s">
        <v>61</v>
      </c>
      <c r="R16" t="s">
        <v>61</v>
      </c>
      <c r="S16" s="79" t="s">
        <v>153</v>
      </c>
      <c r="T16" t="s">
        <v>154</v>
      </c>
      <c r="U16" t="s">
        <v>155</v>
      </c>
      <c r="V16" s="2" t="s">
        <v>156</v>
      </c>
      <c r="W16" s="2" t="s">
        <v>62</v>
      </c>
      <c r="Z16" s="2" t="s">
        <v>97</v>
      </c>
      <c r="AA16" s="2" t="s">
        <v>98</v>
      </c>
      <c r="AB16" s="2" t="s">
        <v>63</v>
      </c>
      <c r="AC16" s="2" t="s">
        <v>64</v>
      </c>
    </row>
    <row r="17" spans="1:29" x14ac:dyDescent="0.35">
      <c r="A17" t="s">
        <v>95</v>
      </c>
      <c r="B17" t="s">
        <v>66</v>
      </c>
      <c r="C17" t="s">
        <v>8</v>
      </c>
      <c r="D17" t="s">
        <v>14</v>
      </c>
      <c r="E17" t="s">
        <v>142</v>
      </c>
      <c r="F17" t="s">
        <v>143</v>
      </c>
      <c r="G17" s="2" t="s">
        <v>8</v>
      </c>
      <c r="H17">
        <f>VALUE(Tabla2[[#This Row],[CODIGO PDV]])</f>
        <v>424858</v>
      </c>
      <c r="I17" s="32" t="s">
        <v>150</v>
      </c>
      <c r="J17" s="2" t="s">
        <v>151</v>
      </c>
      <c r="K17" t="s">
        <v>96</v>
      </c>
      <c r="L17" t="s">
        <v>143</v>
      </c>
      <c r="M17" s="2" t="s">
        <v>75</v>
      </c>
      <c r="N17" t="s">
        <v>152</v>
      </c>
      <c r="O17" t="s">
        <v>112</v>
      </c>
      <c r="P17" s="2" t="s">
        <v>14</v>
      </c>
      <c r="Q17" t="s">
        <v>61</v>
      </c>
      <c r="R17" t="s">
        <v>61</v>
      </c>
      <c r="S17" s="79" t="s">
        <v>153</v>
      </c>
      <c r="T17" t="s">
        <v>154</v>
      </c>
      <c r="U17" t="s">
        <v>155</v>
      </c>
      <c r="V17" s="2" t="s">
        <v>156</v>
      </c>
      <c r="W17" s="2" t="s">
        <v>62</v>
      </c>
      <c r="Z17" s="2" t="s">
        <v>97</v>
      </c>
      <c r="AA17" s="2" t="s">
        <v>98</v>
      </c>
      <c r="AB17" s="2" t="s">
        <v>63</v>
      </c>
      <c r="AC17" s="2" t="s">
        <v>64</v>
      </c>
    </row>
    <row r="18" spans="1:29" x14ac:dyDescent="0.35">
      <c r="A18" t="s">
        <v>95</v>
      </c>
      <c r="B18" t="s">
        <v>66</v>
      </c>
      <c r="C18" t="s">
        <v>8</v>
      </c>
      <c r="D18" t="s">
        <v>14</v>
      </c>
      <c r="E18" t="s">
        <v>142</v>
      </c>
      <c r="F18" t="s">
        <v>143</v>
      </c>
      <c r="G18" s="2" t="s">
        <v>8</v>
      </c>
      <c r="H18">
        <f>VALUE(Tabla2[[#This Row],[CODIGO PDV]])</f>
        <v>424858</v>
      </c>
      <c r="I18" s="32" t="s">
        <v>150</v>
      </c>
      <c r="J18" s="2" t="s">
        <v>151</v>
      </c>
      <c r="K18" t="s">
        <v>96</v>
      </c>
      <c r="L18" t="s">
        <v>143</v>
      </c>
      <c r="M18" s="2" t="s">
        <v>75</v>
      </c>
      <c r="N18" t="s">
        <v>152</v>
      </c>
      <c r="O18" t="s">
        <v>136</v>
      </c>
      <c r="P18" s="2" t="s">
        <v>20</v>
      </c>
      <c r="Q18" t="s">
        <v>61</v>
      </c>
      <c r="R18" t="s">
        <v>61</v>
      </c>
      <c r="S18" s="79" t="s">
        <v>153</v>
      </c>
      <c r="T18" t="s">
        <v>154</v>
      </c>
      <c r="U18" t="s">
        <v>155</v>
      </c>
      <c r="V18" s="2" t="s">
        <v>156</v>
      </c>
      <c r="W18" s="2" t="s">
        <v>62</v>
      </c>
      <c r="Z18" s="2" t="s">
        <v>97</v>
      </c>
      <c r="AA18" s="2" t="s">
        <v>98</v>
      </c>
      <c r="AB18" s="2" t="s">
        <v>63</v>
      </c>
      <c r="AC18" s="2" t="s">
        <v>64</v>
      </c>
    </row>
    <row r="19" spans="1:29" x14ac:dyDescent="0.35">
      <c r="A19" t="s">
        <v>95</v>
      </c>
      <c r="B19" t="s">
        <v>66</v>
      </c>
      <c r="C19" t="s">
        <v>8</v>
      </c>
      <c r="D19" t="s">
        <v>14</v>
      </c>
      <c r="E19" t="s">
        <v>142</v>
      </c>
      <c r="F19" t="s">
        <v>143</v>
      </c>
      <c r="G19" s="2" t="s">
        <v>8</v>
      </c>
      <c r="H19">
        <f>VALUE(Tabla2[[#This Row],[CODIGO PDV]])</f>
        <v>424858</v>
      </c>
      <c r="I19" s="32" t="s">
        <v>150</v>
      </c>
      <c r="J19" s="2" t="s">
        <v>151</v>
      </c>
      <c r="K19" t="s">
        <v>96</v>
      </c>
      <c r="L19" t="s">
        <v>143</v>
      </c>
      <c r="M19" s="2" t="s">
        <v>75</v>
      </c>
      <c r="N19" t="s">
        <v>152</v>
      </c>
      <c r="O19" t="s">
        <v>137</v>
      </c>
      <c r="P19" s="2" t="s">
        <v>20</v>
      </c>
      <c r="Q19" t="s">
        <v>61</v>
      </c>
      <c r="R19" t="s">
        <v>61</v>
      </c>
      <c r="S19" s="79" t="s">
        <v>153</v>
      </c>
      <c r="T19" t="s">
        <v>154</v>
      </c>
      <c r="U19" t="s">
        <v>155</v>
      </c>
      <c r="V19" s="2" t="s">
        <v>156</v>
      </c>
      <c r="W19" s="2" t="s">
        <v>62</v>
      </c>
      <c r="Z19" s="2" t="s">
        <v>97</v>
      </c>
      <c r="AA19" s="2" t="s">
        <v>98</v>
      </c>
      <c r="AB19" s="2" t="s">
        <v>63</v>
      </c>
      <c r="AC19" s="2" t="s">
        <v>64</v>
      </c>
    </row>
    <row r="20" spans="1:29" x14ac:dyDescent="0.35">
      <c r="A20" t="s">
        <v>95</v>
      </c>
      <c r="B20" t="s">
        <v>66</v>
      </c>
      <c r="C20" t="s">
        <v>8</v>
      </c>
      <c r="D20" t="s">
        <v>14</v>
      </c>
      <c r="E20" t="s">
        <v>142</v>
      </c>
      <c r="F20" t="s">
        <v>143</v>
      </c>
      <c r="G20" s="2" t="s">
        <v>8</v>
      </c>
      <c r="H20">
        <f>VALUE(Tabla2[[#This Row],[CODIGO PDV]])</f>
        <v>424858</v>
      </c>
      <c r="I20" s="32" t="s">
        <v>150</v>
      </c>
      <c r="J20" s="2" t="s">
        <v>151</v>
      </c>
      <c r="K20" t="s">
        <v>96</v>
      </c>
      <c r="L20" t="s">
        <v>143</v>
      </c>
      <c r="M20" s="2" t="s">
        <v>75</v>
      </c>
      <c r="N20" t="s">
        <v>152</v>
      </c>
      <c r="O20" t="s">
        <v>138</v>
      </c>
      <c r="P20" s="2" t="s">
        <v>20</v>
      </c>
      <c r="Q20" t="s">
        <v>61</v>
      </c>
      <c r="R20" t="s">
        <v>61</v>
      </c>
      <c r="S20" s="79" t="s">
        <v>153</v>
      </c>
      <c r="T20" t="s">
        <v>154</v>
      </c>
      <c r="U20" t="s">
        <v>155</v>
      </c>
      <c r="V20" s="2" t="s">
        <v>156</v>
      </c>
      <c r="W20" s="2" t="s">
        <v>62</v>
      </c>
      <c r="Z20" s="2" t="s">
        <v>97</v>
      </c>
      <c r="AA20" s="2" t="s">
        <v>98</v>
      </c>
      <c r="AB20" s="2" t="s">
        <v>63</v>
      </c>
      <c r="AC20" s="2" t="s">
        <v>64</v>
      </c>
    </row>
    <row r="21" spans="1:29" x14ac:dyDescent="0.35">
      <c r="A21" t="s">
        <v>95</v>
      </c>
      <c r="B21" t="s">
        <v>66</v>
      </c>
      <c r="C21" t="s">
        <v>8</v>
      </c>
      <c r="D21" t="s">
        <v>14</v>
      </c>
      <c r="E21" t="s">
        <v>142</v>
      </c>
      <c r="F21" t="s">
        <v>143</v>
      </c>
      <c r="G21" s="2" t="s">
        <v>8</v>
      </c>
      <c r="H21">
        <f>VALUE(Tabla2[[#This Row],[CODIGO PDV]])</f>
        <v>424858</v>
      </c>
      <c r="I21" s="32" t="s">
        <v>150</v>
      </c>
      <c r="J21" s="2" t="s">
        <v>151</v>
      </c>
      <c r="K21" t="s">
        <v>96</v>
      </c>
      <c r="L21" t="s">
        <v>143</v>
      </c>
      <c r="M21" s="2" t="s">
        <v>75</v>
      </c>
      <c r="N21" t="s">
        <v>152</v>
      </c>
      <c r="O21" t="s">
        <v>139</v>
      </c>
      <c r="P21" s="2" t="s">
        <v>20</v>
      </c>
      <c r="Q21" t="s">
        <v>61</v>
      </c>
      <c r="R21" t="s">
        <v>61</v>
      </c>
      <c r="S21" s="79" t="s">
        <v>153</v>
      </c>
      <c r="T21" t="s">
        <v>154</v>
      </c>
      <c r="U21" t="s">
        <v>155</v>
      </c>
      <c r="V21" s="2" t="s">
        <v>156</v>
      </c>
      <c r="W21" s="2" t="s">
        <v>62</v>
      </c>
      <c r="Z21" s="2" t="s">
        <v>97</v>
      </c>
      <c r="AA21" s="2" t="s">
        <v>98</v>
      </c>
      <c r="AB21" s="2" t="s">
        <v>63</v>
      </c>
      <c r="AC21" s="2" t="s">
        <v>64</v>
      </c>
    </row>
    <row r="22" spans="1:29" x14ac:dyDescent="0.35">
      <c r="A22" t="s">
        <v>95</v>
      </c>
      <c r="B22" t="s">
        <v>66</v>
      </c>
      <c r="C22" t="s">
        <v>8</v>
      </c>
      <c r="D22" t="s">
        <v>14</v>
      </c>
      <c r="E22" t="s">
        <v>142</v>
      </c>
      <c r="F22" t="s">
        <v>143</v>
      </c>
      <c r="G22" s="2" t="s">
        <v>8</v>
      </c>
      <c r="H22">
        <f>VALUE(Tabla2[[#This Row],[CODIGO PDV]])</f>
        <v>424858</v>
      </c>
      <c r="I22" s="32" t="s">
        <v>150</v>
      </c>
      <c r="J22" s="2" t="s">
        <v>151</v>
      </c>
      <c r="K22" t="s">
        <v>96</v>
      </c>
      <c r="L22" t="s">
        <v>143</v>
      </c>
      <c r="M22" s="2" t="s">
        <v>75</v>
      </c>
      <c r="N22" t="s">
        <v>152</v>
      </c>
      <c r="O22" t="s">
        <v>140</v>
      </c>
      <c r="P22" s="2" t="s">
        <v>20</v>
      </c>
      <c r="Q22" t="s">
        <v>61</v>
      </c>
      <c r="R22" t="s">
        <v>61</v>
      </c>
      <c r="S22" s="79" t="s">
        <v>153</v>
      </c>
      <c r="T22" t="s">
        <v>154</v>
      </c>
      <c r="U22" t="s">
        <v>155</v>
      </c>
      <c r="V22" s="2" t="s">
        <v>156</v>
      </c>
      <c r="W22" s="2" t="s">
        <v>62</v>
      </c>
      <c r="Z22" s="2" t="s">
        <v>97</v>
      </c>
      <c r="AA22" s="2" t="s">
        <v>98</v>
      </c>
      <c r="AB22" s="2" t="s">
        <v>63</v>
      </c>
      <c r="AC22" s="2" t="s">
        <v>64</v>
      </c>
    </row>
    <row r="23" spans="1:29" x14ac:dyDescent="0.35">
      <c r="A23" t="s">
        <v>95</v>
      </c>
      <c r="B23" t="s">
        <v>66</v>
      </c>
      <c r="C23" t="s">
        <v>8</v>
      </c>
      <c r="D23" t="s">
        <v>14</v>
      </c>
      <c r="E23" t="s">
        <v>142</v>
      </c>
      <c r="F23" t="s">
        <v>143</v>
      </c>
      <c r="G23" s="2" t="s">
        <v>8</v>
      </c>
      <c r="H23">
        <f>VALUE(Tabla2[[#This Row],[CODIGO PDV]])</f>
        <v>424858</v>
      </c>
      <c r="I23" s="32" t="s">
        <v>150</v>
      </c>
      <c r="J23" s="2" t="s">
        <v>151</v>
      </c>
      <c r="K23" t="s">
        <v>96</v>
      </c>
      <c r="L23" t="s">
        <v>143</v>
      </c>
      <c r="M23" s="2" t="s">
        <v>75</v>
      </c>
      <c r="N23" t="s">
        <v>152</v>
      </c>
      <c r="O23" t="s">
        <v>141</v>
      </c>
      <c r="P23" s="2" t="s">
        <v>94</v>
      </c>
      <c r="Q23" t="s">
        <v>61</v>
      </c>
      <c r="R23" t="s">
        <v>61</v>
      </c>
      <c r="S23" s="79" t="s">
        <v>153</v>
      </c>
      <c r="T23" t="s">
        <v>154</v>
      </c>
      <c r="U23" t="s">
        <v>155</v>
      </c>
      <c r="V23" s="2" t="s">
        <v>156</v>
      </c>
      <c r="W23" s="2" t="s">
        <v>62</v>
      </c>
      <c r="Z23" s="2" t="s">
        <v>97</v>
      </c>
      <c r="AA23" s="2" t="s">
        <v>98</v>
      </c>
      <c r="AB23" s="2" t="s">
        <v>63</v>
      </c>
      <c r="AC23" s="2" t="s">
        <v>64</v>
      </c>
    </row>
    <row r="24" spans="1:29" x14ac:dyDescent="0.35">
      <c r="A24" t="s">
        <v>95</v>
      </c>
      <c r="B24" t="s">
        <v>66</v>
      </c>
      <c r="C24" t="s">
        <v>8</v>
      </c>
      <c r="D24" t="s">
        <v>14</v>
      </c>
      <c r="E24" t="s">
        <v>142</v>
      </c>
      <c r="F24" t="s">
        <v>143</v>
      </c>
      <c r="G24" s="2" t="s">
        <v>8</v>
      </c>
      <c r="H24">
        <f>VALUE(Tabla2[[#This Row],[CODIGO PDV]])</f>
        <v>424858</v>
      </c>
      <c r="I24" s="32" t="s">
        <v>150</v>
      </c>
      <c r="J24" s="2" t="s">
        <v>151</v>
      </c>
      <c r="K24" t="s">
        <v>96</v>
      </c>
      <c r="L24" t="s">
        <v>143</v>
      </c>
      <c r="M24" s="2" t="s">
        <v>75</v>
      </c>
      <c r="N24" t="s">
        <v>152</v>
      </c>
      <c r="O24" t="s">
        <v>113</v>
      </c>
      <c r="P24" s="2" t="s">
        <v>119</v>
      </c>
      <c r="Q24" t="s">
        <v>61</v>
      </c>
      <c r="R24" t="s">
        <v>61</v>
      </c>
      <c r="S24" s="79" t="s">
        <v>153</v>
      </c>
      <c r="T24" t="s">
        <v>154</v>
      </c>
      <c r="U24" t="s">
        <v>155</v>
      </c>
      <c r="V24" s="2" t="s">
        <v>156</v>
      </c>
      <c r="W24" s="2" t="s">
        <v>62</v>
      </c>
      <c r="Z24" s="2" t="s">
        <v>97</v>
      </c>
      <c r="AA24" s="2" t="s">
        <v>98</v>
      </c>
      <c r="AB24" s="2" t="s">
        <v>63</v>
      </c>
      <c r="AC24" s="2" t="s">
        <v>64</v>
      </c>
    </row>
    <row r="25" spans="1:29" x14ac:dyDescent="0.35">
      <c r="A25" t="s">
        <v>95</v>
      </c>
      <c r="B25" t="s">
        <v>66</v>
      </c>
      <c r="C25" t="s">
        <v>8</v>
      </c>
      <c r="D25" t="s">
        <v>14</v>
      </c>
      <c r="E25" t="s">
        <v>142</v>
      </c>
      <c r="F25" t="s">
        <v>143</v>
      </c>
      <c r="G25" s="2" t="s">
        <v>8</v>
      </c>
      <c r="H25">
        <f>VALUE(Tabla2[[#This Row],[CODIGO PDV]])</f>
        <v>424858</v>
      </c>
      <c r="I25" s="32" t="s">
        <v>150</v>
      </c>
      <c r="J25" s="2" t="s">
        <v>151</v>
      </c>
      <c r="K25" t="s">
        <v>96</v>
      </c>
      <c r="L25" t="s">
        <v>143</v>
      </c>
      <c r="M25" s="2" t="s">
        <v>75</v>
      </c>
      <c r="N25" t="s">
        <v>152</v>
      </c>
      <c r="O25" t="s">
        <v>114</v>
      </c>
      <c r="P25" s="2" t="s">
        <v>20</v>
      </c>
      <c r="Q25" t="s">
        <v>61</v>
      </c>
      <c r="R25" t="s">
        <v>61</v>
      </c>
      <c r="S25" s="79" t="s">
        <v>153</v>
      </c>
      <c r="T25" t="s">
        <v>154</v>
      </c>
      <c r="U25" t="s">
        <v>155</v>
      </c>
      <c r="V25" s="2" t="s">
        <v>156</v>
      </c>
      <c r="W25" s="2" t="s">
        <v>62</v>
      </c>
      <c r="Z25" s="2" t="s">
        <v>97</v>
      </c>
      <c r="AA25" s="2" t="s">
        <v>98</v>
      </c>
      <c r="AB25" s="2" t="s">
        <v>63</v>
      </c>
      <c r="AC25" s="2" t="s">
        <v>64</v>
      </c>
    </row>
    <row r="26" spans="1:29" x14ac:dyDescent="0.35">
      <c r="A26" t="s">
        <v>95</v>
      </c>
      <c r="B26" t="s">
        <v>66</v>
      </c>
      <c r="C26" t="s">
        <v>8</v>
      </c>
      <c r="D26" t="s">
        <v>14</v>
      </c>
      <c r="E26" t="s">
        <v>142</v>
      </c>
      <c r="F26" t="s">
        <v>143</v>
      </c>
      <c r="G26" s="2" t="s">
        <v>8</v>
      </c>
      <c r="H26">
        <f>VALUE(Tabla2[[#This Row],[CODIGO PDV]])</f>
        <v>424858</v>
      </c>
      <c r="I26" s="32" t="s">
        <v>150</v>
      </c>
      <c r="J26" s="2" t="s">
        <v>151</v>
      </c>
      <c r="K26" t="s">
        <v>96</v>
      </c>
      <c r="L26" t="s">
        <v>143</v>
      </c>
      <c r="M26" s="2" t="s">
        <v>75</v>
      </c>
      <c r="N26" t="s">
        <v>152</v>
      </c>
      <c r="O26" t="s">
        <v>128</v>
      </c>
      <c r="P26" s="2" t="s">
        <v>20</v>
      </c>
      <c r="Q26" t="s">
        <v>61</v>
      </c>
      <c r="R26" t="s">
        <v>61</v>
      </c>
      <c r="S26" s="79" t="s">
        <v>153</v>
      </c>
      <c r="T26" t="s">
        <v>154</v>
      </c>
      <c r="U26" t="s">
        <v>155</v>
      </c>
      <c r="V26" s="2" t="s">
        <v>156</v>
      </c>
      <c r="W26" s="2" t="s">
        <v>62</v>
      </c>
      <c r="Z26" s="2" t="s">
        <v>97</v>
      </c>
      <c r="AA26" s="2" t="s">
        <v>98</v>
      </c>
      <c r="AB26" s="2" t="s">
        <v>63</v>
      </c>
      <c r="AC26" s="2" t="s">
        <v>64</v>
      </c>
    </row>
    <row r="27" spans="1:29" x14ac:dyDescent="0.35">
      <c r="A27" t="s">
        <v>95</v>
      </c>
      <c r="B27" t="s">
        <v>66</v>
      </c>
      <c r="C27" t="s">
        <v>8</v>
      </c>
      <c r="D27" t="s">
        <v>14</v>
      </c>
      <c r="E27" t="s">
        <v>142</v>
      </c>
      <c r="F27" t="s">
        <v>143</v>
      </c>
      <c r="G27" s="2" t="s">
        <v>8</v>
      </c>
      <c r="H27">
        <f>VALUE(Tabla2[[#This Row],[CODIGO PDV]])</f>
        <v>424858</v>
      </c>
      <c r="I27" s="32" t="s">
        <v>150</v>
      </c>
      <c r="J27" s="2" t="s">
        <v>151</v>
      </c>
      <c r="K27" t="s">
        <v>96</v>
      </c>
      <c r="L27" t="s">
        <v>143</v>
      </c>
      <c r="M27" s="2" t="s">
        <v>75</v>
      </c>
      <c r="N27" t="s">
        <v>152</v>
      </c>
      <c r="O27" t="s">
        <v>115</v>
      </c>
      <c r="P27" s="2" t="s">
        <v>20</v>
      </c>
      <c r="Q27" t="s">
        <v>61</v>
      </c>
      <c r="R27" t="s">
        <v>61</v>
      </c>
      <c r="S27" s="79" t="s">
        <v>153</v>
      </c>
      <c r="T27" t="s">
        <v>154</v>
      </c>
      <c r="U27" t="s">
        <v>155</v>
      </c>
      <c r="V27" s="2" t="s">
        <v>156</v>
      </c>
      <c r="W27" s="2" t="s">
        <v>62</v>
      </c>
      <c r="Z27" s="2" t="s">
        <v>97</v>
      </c>
      <c r="AA27" s="2" t="s">
        <v>98</v>
      </c>
      <c r="AB27" s="2" t="s">
        <v>63</v>
      </c>
      <c r="AC27" s="2" t="s">
        <v>64</v>
      </c>
    </row>
    <row r="28" spans="1:29" x14ac:dyDescent="0.35">
      <c r="A28" t="s">
        <v>95</v>
      </c>
      <c r="B28" t="s">
        <v>66</v>
      </c>
      <c r="C28" t="s">
        <v>8</v>
      </c>
      <c r="D28" t="s">
        <v>14</v>
      </c>
      <c r="E28" t="s">
        <v>142</v>
      </c>
      <c r="F28" t="s">
        <v>143</v>
      </c>
      <c r="G28" s="2" t="s">
        <v>8</v>
      </c>
      <c r="H28">
        <f>VALUE(Tabla2[[#This Row],[CODIGO PDV]])</f>
        <v>424858</v>
      </c>
      <c r="I28" s="32" t="s">
        <v>150</v>
      </c>
      <c r="J28" s="2" t="s">
        <v>151</v>
      </c>
      <c r="K28" t="s">
        <v>96</v>
      </c>
      <c r="L28" t="s">
        <v>143</v>
      </c>
      <c r="M28" s="2" t="s">
        <v>75</v>
      </c>
      <c r="N28" t="s">
        <v>152</v>
      </c>
      <c r="O28" t="s">
        <v>116</v>
      </c>
      <c r="P28" s="2" t="s">
        <v>20</v>
      </c>
      <c r="Q28" t="s">
        <v>61</v>
      </c>
      <c r="R28" t="s">
        <v>61</v>
      </c>
      <c r="S28" s="79" t="s">
        <v>153</v>
      </c>
      <c r="T28" t="s">
        <v>154</v>
      </c>
      <c r="U28" t="s">
        <v>155</v>
      </c>
      <c r="V28" s="2" t="s">
        <v>156</v>
      </c>
      <c r="W28" s="2" t="s">
        <v>62</v>
      </c>
      <c r="Z28" s="2" t="s">
        <v>97</v>
      </c>
      <c r="AA28" s="2" t="s">
        <v>98</v>
      </c>
      <c r="AB28" s="2" t="s">
        <v>63</v>
      </c>
      <c r="AC28" s="2" t="s">
        <v>64</v>
      </c>
    </row>
    <row r="29" spans="1:29" x14ac:dyDescent="0.35">
      <c r="A29" t="s">
        <v>95</v>
      </c>
      <c r="B29" t="s">
        <v>66</v>
      </c>
      <c r="C29" t="s">
        <v>8</v>
      </c>
      <c r="D29" t="s">
        <v>14</v>
      </c>
      <c r="E29" t="s">
        <v>142</v>
      </c>
      <c r="F29" t="s">
        <v>143</v>
      </c>
      <c r="G29" s="2" t="s">
        <v>8</v>
      </c>
      <c r="H29">
        <f>VALUE(Tabla2[[#This Row],[CODIGO PDV]])</f>
        <v>424858</v>
      </c>
      <c r="I29" s="32" t="s">
        <v>150</v>
      </c>
      <c r="J29" s="2" t="s">
        <v>151</v>
      </c>
      <c r="K29" t="s">
        <v>96</v>
      </c>
      <c r="L29" t="s">
        <v>143</v>
      </c>
      <c r="M29" s="2" t="s">
        <v>75</v>
      </c>
      <c r="N29" t="s">
        <v>152</v>
      </c>
      <c r="O29" t="s">
        <v>117</v>
      </c>
      <c r="P29" s="2" t="s">
        <v>94</v>
      </c>
      <c r="Q29" t="s">
        <v>61</v>
      </c>
      <c r="R29" t="s">
        <v>61</v>
      </c>
      <c r="S29" s="79" t="s">
        <v>153</v>
      </c>
      <c r="T29" t="s">
        <v>154</v>
      </c>
      <c r="U29" t="s">
        <v>155</v>
      </c>
      <c r="V29" s="2" t="s">
        <v>156</v>
      </c>
      <c r="W29" s="2" t="s">
        <v>62</v>
      </c>
      <c r="Z29" s="2" t="s">
        <v>97</v>
      </c>
      <c r="AA29" s="2" t="s">
        <v>98</v>
      </c>
      <c r="AB29" s="2" t="s">
        <v>63</v>
      </c>
      <c r="AC29" s="2" t="s">
        <v>64</v>
      </c>
    </row>
    <row r="30" spans="1:29" x14ac:dyDescent="0.35">
      <c r="A30" t="s">
        <v>95</v>
      </c>
      <c r="B30" t="s">
        <v>99</v>
      </c>
      <c r="C30" t="s">
        <v>100</v>
      </c>
      <c r="D30" t="s">
        <v>41</v>
      </c>
      <c r="E30" t="s">
        <v>101</v>
      </c>
      <c r="F30" t="s">
        <v>101</v>
      </c>
      <c r="G30" s="2" t="s">
        <v>100</v>
      </c>
      <c r="H30">
        <f>VALUE(Tabla2[[#This Row],[CODIGO PDV]])</f>
        <v>66552</v>
      </c>
      <c r="I30" s="32" t="s">
        <v>157</v>
      </c>
      <c r="J30" s="2" t="s">
        <v>158</v>
      </c>
      <c r="K30" t="s">
        <v>96</v>
      </c>
      <c r="L30" t="s">
        <v>102</v>
      </c>
      <c r="M30" s="2" t="s">
        <v>75</v>
      </c>
      <c r="N30" t="s">
        <v>152</v>
      </c>
      <c r="O30" t="s">
        <v>109</v>
      </c>
      <c r="P30" s="2" t="s">
        <v>20</v>
      </c>
      <c r="Q30" t="s">
        <v>61</v>
      </c>
      <c r="R30" t="s">
        <v>61</v>
      </c>
      <c r="S30" s="79" t="s">
        <v>159</v>
      </c>
      <c r="T30" t="s">
        <v>160</v>
      </c>
      <c r="U30" t="s">
        <v>161</v>
      </c>
      <c r="V30" s="2" t="s">
        <v>162</v>
      </c>
      <c r="W30" s="2" t="s">
        <v>62</v>
      </c>
      <c r="Z30" s="2" t="s">
        <v>163</v>
      </c>
      <c r="AA30" s="2" t="s">
        <v>164</v>
      </c>
      <c r="AB30" s="2" t="s">
        <v>165</v>
      </c>
      <c r="AC30" s="2" t="s">
        <v>166</v>
      </c>
    </row>
    <row r="31" spans="1:29" x14ac:dyDescent="0.35">
      <c r="A31" t="s">
        <v>95</v>
      </c>
      <c r="B31" t="s">
        <v>99</v>
      </c>
      <c r="C31" t="s">
        <v>100</v>
      </c>
      <c r="D31" t="s">
        <v>41</v>
      </c>
      <c r="E31" t="s">
        <v>101</v>
      </c>
      <c r="F31" t="s">
        <v>101</v>
      </c>
      <c r="G31" s="2" t="s">
        <v>100</v>
      </c>
      <c r="H31">
        <f>VALUE(Tabla2[[#This Row],[CODIGO PDV]])</f>
        <v>66552</v>
      </c>
      <c r="I31" s="32" t="s">
        <v>157</v>
      </c>
      <c r="J31" s="2" t="s">
        <v>158</v>
      </c>
      <c r="K31" t="s">
        <v>96</v>
      </c>
      <c r="L31" t="s">
        <v>102</v>
      </c>
      <c r="M31" s="2" t="s">
        <v>75</v>
      </c>
      <c r="N31" t="s">
        <v>152</v>
      </c>
      <c r="O31" t="s">
        <v>86</v>
      </c>
      <c r="P31" s="2" t="s">
        <v>20</v>
      </c>
      <c r="Q31" t="s">
        <v>61</v>
      </c>
      <c r="R31" t="s">
        <v>61</v>
      </c>
      <c r="S31" s="79" t="s">
        <v>159</v>
      </c>
      <c r="T31" t="s">
        <v>160</v>
      </c>
      <c r="U31" t="s">
        <v>161</v>
      </c>
      <c r="V31" s="2" t="s">
        <v>162</v>
      </c>
      <c r="W31" s="2" t="s">
        <v>62</v>
      </c>
      <c r="Z31" s="2" t="s">
        <v>163</v>
      </c>
      <c r="AA31" s="2" t="s">
        <v>164</v>
      </c>
      <c r="AB31" s="2" t="s">
        <v>165</v>
      </c>
      <c r="AC31" s="2" t="s">
        <v>166</v>
      </c>
    </row>
    <row r="32" spans="1:29" x14ac:dyDescent="0.35">
      <c r="A32" t="s">
        <v>95</v>
      </c>
      <c r="B32" t="s">
        <v>99</v>
      </c>
      <c r="C32" t="s">
        <v>100</v>
      </c>
      <c r="D32" t="s">
        <v>41</v>
      </c>
      <c r="E32" t="s">
        <v>101</v>
      </c>
      <c r="F32" t="s">
        <v>101</v>
      </c>
      <c r="G32" s="2" t="s">
        <v>100</v>
      </c>
      <c r="H32">
        <f>VALUE(Tabla2[[#This Row],[CODIGO PDV]])</f>
        <v>66552</v>
      </c>
      <c r="I32" s="32" t="s">
        <v>157</v>
      </c>
      <c r="J32" s="2" t="s">
        <v>158</v>
      </c>
      <c r="K32" t="s">
        <v>96</v>
      </c>
      <c r="L32" t="s">
        <v>102</v>
      </c>
      <c r="M32" s="2" t="s">
        <v>75</v>
      </c>
      <c r="N32" t="s">
        <v>152</v>
      </c>
      <c r="O32" t="s">
        <v>87</v>
      </c>
      <c r="P32" s="2" t="s">
        <v>20</v>
      </c>
      <c r="Q32" t="s">
        <v>61</v>
      </c>
      <c r="R32" t="s">
        <v>61</v>
      </c>
      <c r="S32" s="79" t="s">
        <v>159</v>
      </c>
      <c r="T32" t="s">
        <v>160</v>
      </c>
      <c r="U32" t="s">
        <v>161</v>
      </c>
      <c r="V32" s="2" t="s">
        <v>162</v>
      </c>
      <c r="W32" s="2" t="s">
        <v>62</v>
      </c>
      <c r="Z32" s="2" t="s">
        <v>163</v>
      </c>
      <c r="AA32" s="2" t="s">
        <v>164</v>
      </c>
      <c r="AB32" s="2" t="s">
        <v>165</v>
      </c>
      <c r="AC32" s="2" t="s">
        <v>166</v>
      </c>
    </row>
    <row r="33" spans="1:29" x14ac:dyDescent="0.35">
      <c r="A33" t="s">
        <v>95</v>
      </c>
      <c r="B33" t="s">
        <v>99</v>
      </c>
      <c r="C33" t="s">
        <v>100</v>
      </c>
      <c r="D33" t="s">
        <v>41</v>
      </c>
      <c r="E33" t="s">
        <v>101</v>
      </c>
      <c r="F33" t="s">
        <v>101</v>
      </c>
      <c r="G33" s="2" t="s">
        <v>100</v>
      </c>
      <c r="H33">
        <f>VALUE(Tabla2[[#This Row],[CODIGO PDV]])</f>
        <v>66552</v>
      </c>
      <c r="I33" s="32" t="s">
        <v>157</v>
      </c>
      <c r="J33" s="2" t="s">
        <v>158</v>
      </c>
      <c r="K33" t="s">
        <v>96</v>
      </c>
      <c r="L33" t="s">
        <v>102</v>
      </c>
      <c r="M33" s="2" t="s">
        <v>75</v>
      </c>
      <c r="N33" t="s">
        <v>152</v>
      </c>
      <c r="O33" t="s">
        <v>110</v>
      </c>
      <c r="P33" s="2" t="s">
        <v>20</v>
      </c>
      <c r="Q33" t="s">
        <v>61</v>
      </c>
      <c r="R33" t="s">
        <v>61</v>
      </c>
      <c r="S33" s="79" t="s">
        <v>159</v>
      </c>
      <c r="T33" t="s">
        <v>160</v>
      </c>
      <c r="U33" t="s">
        <v>161</v>
      </c>
      <c r="V33" s="2" t="s">
        <v>162</v>
      </c>
      <c r="W33" s="2" t="s">
        <v>62</v>
      </c>
      <c r="Z33" s="2" t="s">
        <v>163</v>
      </c>
      <c r="AA33" s="2" t="s">
        <v>164</v>
      </c>
      <c r="AB33" s="2" t="s">
        <v>165</v>
      </c>
      <c r="AC33" s="2" t="s">
        <v>166</v>
      </c>
    </row>
    <row r="34" spans="1:29" x14ac:dyDescent="0.35">
      <c r="A34" t="s">
        <v>95</v>
      </c>
      <c r="B34" t="s">
        <v>99</v>
      </c>
      <c r="C34" t="s">
        <v>100</v>
      </c>
      <c r="D34" t="s">
        <v>41</v>
      </c>
      <c r="E34" t="s">
        <v>101</v>
      </c>
      <c r="F34" t="s">
        <v>101</v>
      </c>
      <c r="G34" s="2" t="s">
        <v>100</v>
      </c>
      <c r="H34">
        <f>VALUE(Tabla2[[#This Row],[CODIGO PDV]])</f>
        <v>66552</v>
      </c>
      <c r="I34" s="32" t="s">
        <v>157</v>
      </c>
      <c r="J34" s="2" t="s">
        <v>158</v>
      </c>
      <c r="K34" t="s">
        <v>96</v>
      </c>
      <c r="L34" t="s">
        <v>102</v>
      </c>
      <c r="M34" s="2" t="s">
        <v>75</v>
      </c>
      <c r="N34" t="s">
        <v>152</v>
      </c>
      <c r="O34" t="s">
        <v>35</v>
      </c>
      <c r="P34" s="2" t="s">
        <v>20</v>
      </c>
      <c r="Q34" t="s">
        <v>61</v>
      </c>
      <c r="R34" t="s">
        <v>61</v>
      </c>
      <c r="S34" s="79" t="s">
        <v>159</v>
      </c>
      <c r="T34" t="s">
        <v>160</v>
      </c>
      <c r="U34" t="s">
        <v>161</v>
      </c>
      <c r="V34" s="2" t="s">
        <v>162</v>
      </c>
      <c r="W34" s="2" t="s">
        <v>62</v>
      </c>
      <c r="Z34" s="2" t="s">
        <v>163</v>
      </c>
      <c r="AA34" s="2" t="s">
        <v>164</v>
      </c>
      <c r="AB34" s="2" t="s">
        <v>165</v>
      </c>
      <c r="AC34" s="2" t="s">
        <v>166</v>
      </c>
    </row>
    <row r="35" spans="1:29" x14ac:dyDescent="0.35">
      <c r="A35" t="s">
        <v>95</v>
      </c>
      <c r="B35" t="s">
        <v>99</v>
      </c>
      <c r="C35" t="s">
        <v>100</v>
      </c>
      <c r="D35" t="s">
        <v>41</v>
      </c>
      <c r="E35" t="s">
        <v>101</v>
      </c>
      <c r="F35" t="s">
        <v>101</v>
      </c>
      <c r="G35" s="2" t="s">
        <v>100</v>
      </c>
      <c r="H35">
        <f>VALUE(Tabla2[[#This Row],[CODIGO PDV]])</f>
        <v>66552</v>
      </c>
      <c r="I35" s="32" t="s">
        <v>157</v>
      </c>
      <c r="J35" s="2" t="s">
        <v>158</v>
      </c>
      <c r="K35" t="s">
        <v>96</v>
      </c>
      <c r="L35" t="s">
        <v>102</v>
      </c>
      <c r="M35" s="2" t="s">
        <v>75</v>
      </c>
      <c r="N35" t="s">
        <v>152</v>
      </c>
      <c r="O35" t="s">
        <v>111</v>
      </c>
      <c r="P35" s="2" t="s">
        <v>94</v>
      </c>
      <c r="Q35" t="s">
        <v>61</v>
      </c>
      <c r="R35" t="s">
        <v>61</v>
      </c>
      <c r="S35" s="79" t="s">
        <v>159</v>
      </c>
      <c r="T35" t="s">
        <v>160</v>
      </c>
      <c r="U35" t="s">
        <v>161</v>
      </c>
      <c r="V35" s="2" t="s">
        <v>162</v>
      </c>
      <c r="W35" s="2" t="s">
        <v>62</v>
      </c>
      <c r="Z35" s="2" t="s">
        <v>163</v>
      </c>
      <c r="AA35" s="2" t="s">
        <v>164</v>
      </c>
      <c r="AB35" s="2" t="s">
        <v>165</v>
      </c>
      <c r="AC35" s="2" t="s">
        <v>166</v>
      </c>
    </row>
    <row r="36" spans="1:29" x14ac:dyDescent="0.35">
      <c r="A36" t="s">
        <v>95</v>
      </c>
      <c r="B36" t="s">
        <v>99</v>
      </c>
      <c r="C36" t="s">
        <v>100</v>
      </c>
      <c r="D36" t="s">
        <v>41</v>
      </c>
      <c r="E36" t="s">
        <v>101</v>
      </c>
      <c r="F36" t="s">
        <v>101</v>
      </c>
      <c r="G36" s="2" t="s">
        <v>100</v>
      </c>
      <c r="H36">
        <f>VALUE(Tabla2[[#This Row],[CODIGO PDV]])</f>
        <v>66552</v>
      </c>
      <c r="I36" s="32" t="s">
        <v>157</v>
      </c>
      <c r="J36" s="2" t="s">
        <v>158</v>
      </c>
      <c r="K36" t="s">
        <v>96</v>
      </c>
      <c r="L36" t="s">
        <v>102</v>
      </c>
      <c r="M36" s="2" t="s">
        <v>75</v>
      </c>
      <c r="N36" t="s">
        <v>152</v>
      </c>
      <c r="O36" t="s">
        <v>88</v>
      </c>
      <c r="P36" s="2" t="s">
        <v>20</v>
      </c>
      <c r="Q36" t="s">
        <v>61</v>
      </c>
      <c r="R36" t="s">
        <v>61</v>
      </c>
      <c r="S36" s="79" t="s">
        <v>159</v>
      </c>
      <c r="T36" t="s">
        <v>160</v>
      </c>
      <c r="U36" t="s">
        <v>161</v>
      </c>
      <c r="V36" s="2" t="s">
        <v>162</v>
      </c>
      <c r="W36" s="2" t="s">
        <v>62</v>
      </c>
      <c r="Z36" s="2" t="s">
        <v>163</v>
      </c>
      <c r="AA36" s="2" t="s">
        <v>164</v>
      </c>
      <c r="AB36" s="2" t="s">
        <v>165</v>
      </c>
      <c r="AC36" s="2" t="s">
        <v>166</v>
      </c>
    </row>
    <row r="37" spans="1:29" x14ac:dyDescent="0.35">
      <c r="A37" t="s">
        <v>95</v>
      </c>
      <c r="B37" t="s">
        <v>99</v>
      </c>
      <c r="C37" t="s">
        <v>100</v>
      </c>
      <c r="D37" t="s">
        <v>41</v>
      </c>
      <c r="E37" t="s">
        <v>101</v>
      </c>
      <c r="F37" t="s">
        <v>101</v>
      </c>
      <c r="G37" s="2" t="s">
        <v>100</v>
      </c>
      <c r="H37">
        <f>VALUE(Tabla2[[#This Row],[CODIGO PDV]])</f>
        <v>66552</v>
      </c>
      <c r="I37" s="32" t="s">
        <v>157</v>
      </c>
      <c r="J37" s="2" t="s">
        <v>158</v>
      </c>
      <c r="K37" t="s">
        <v>96</v>
      </c>
      <c r="L37" t="s">
        <v>102</v>
      </c>
      <c r="M37" s="2" t="s">
        <v>75</v>
      </c>
      <c r="N37" t="s">
        <v>152</v>
      </c>
      <c r="O37" t="s">
        <v>89</v>
      </c>
      <c r="P37" s="2" t="s">
        <v>20</v>
      </c>
      <c r="Q37" t="s">
        <v>61</v>
      </c>
      <c r="R37" t="s">
        <v>61</v>
      </c>
      <c r="S37" s="79" t="s">
        <v>159</v>
      </c>
      <c r="T37" t="s">
        <v>160</v>
      </c>
      <c r="U37" t="s">
        <v>161</v>
      </c>
      <c r="V37" s="2" t="s">
        <v>162</v>
      </c>
      <c r="W37" s="2" t="s">
        <v>62</v>
      </c>
      <c r="Z37" s="2" t="s">
        <v>163</v>
      </c>
      <c r="AA37" s="2" t="s">
        <v>164</v>
      </c>
      <c r="AB37" s="2" t="s">
        <v>165</v>
      </c>
      <c r="AC37" s="2" t="s">
        <v>166</v>
      </c>
    </row>
    <row r="38" spans="1:29" x14ac:dyDescent="0.35">
      <c r="A38" t="s">
        <v>95</v>
      </c>
      <c r="B38" t="s">
        <v>99</v>
      </c>
      <c r="C38" t="s">
        <v>100</v>
      </c>
      <c r="D38" t="s">
        <v>41</v>
      </c>
      <c r="E38" t="s">
        <v>101</v>
      </c>
      <c r="F38" t="s">
        <v>101</v>
      </c>
      <c r="G38" s="2" t="s">
        <v>100</v>
      </c>
      <c r="H38">
        <f>VALUE(Tabla2[[#This Row],[CODIGO PDV]])</f>
        <v>66552</v>
      </c>
      <c r="I38" s="32" t="s">
        <v>157</v>
      </c>
      <c r="J38" s="2" t="s">
        <v>158</v>
      </c>
      <c r="K38" t="s">
        <v>96</v>
      </c>
      <c r="L38" t="s">
        <v>102</v>
      </c>
      <c r="M38" s="2" t="s">
        <v>75</v>
      </c>
      <c r="N38" t="s">
        <v>152</v>
      </c>
      <c r="O38" t="s">
        <v>90</v>
      </c>
      <c r="P38" s="2" t="s">
        <v>94</v>
      </c>
      <c r="Q38" t="s">
        <v>61</v>
      </c>
      <c r="R38" t="s">
        <v>61</v>
      </c>
      <c r="S38" s="79" t="s">
        <v>159</v>
      </c>
      <c r="T38" t="s">
        <v>160</v>
      </c>
      <c r="U38" t="s">
        <v>161</v>
      </c>
      <c r="V38" s="2" t="s">
        <v>162</v>
      </c>
      <c r="W38" s="2" t="s">
        <v>62</v>
      </c>
      <c r="Z38" s="2" t="s">
        <v>163</v>
      </c>
      <c r="AA38" s="2" t="s">
        <v>164</v>
      </c>
      <c r="AB38" s="2" t="s">
        <v>165</v>
      </c>
      <c r="AC38" s="2" t="s">
        <v>166</v>
      </c>
    </row>
    <row r="39" spans="1:29" x14ac:dyDescent="0.35">
      <c r="A39" t="s">
        <v>95</v>
      </c>
      <c r="B39" t="s">
        <v>99</v>
      </c>
      <c r="C39" t="s">
        <v>100</v>
      </c>
      <c r="D39" t="s">
        <v>41</v>
      </c>
      <c r="E39" t="s">
        <v>101</v>
      </c>
      <c r="F39" t="s">
        <v>101</v>
      </c>
      <c r="G39" s="2" t="s">
        <v>100</v>
      </c>
      <c r="H39">
        <f>VALUE(Tabla2[[#This Row],[CODIGO PDV]])</f>
        <v>66552</v>
      </c>
      <c r="I39" s="32" t="s">
        <v>157</v>
      </c>
      <c r="J39" s="2" t="s">
        <v>158</v>
      </c>
      <c r="K39" t="s">
        <v>96</v>
      </c>
      <c r="L39" t="s">
        <v>102</v>
      </c>
      <c r="M39" s="2" t="s">
        <v>75</v>
      </c>
      <c r="N39" t="s">
        <v>152</v>
      </c>
      <c r="O39" t="s">
        <v>91</v>
      </c>
      <c r="P39" s="2" t="s">
        <v>94</v>
      </c>
      <c r="Q39" t="s">
        <v>61</v>
      </c>
      <c r="R39" t="s">
        <v>61</v>
      </c>
      <c r="S39" s="79" t="s">
        <v>159</v>
      </c>
      <c r="T39" t="s">
        <v>160</v>
      </c>
      <c r="U39" t="s">
        <v>161</v>
      </c>
      <c r="V39" s="2" t="s">
        <v>162</v>
      </c>
      <c r="W39" s="2" t="s">
        <v>62</v>
      </c>
      <c r="Z39" s="2" t="s">
        <v>163</v>
      </c>
      <c r="AA39" s="2" t="s">
        <v>164</v>
      </c>
      <c r="AB39" s="2" t="s">
        <v>165</v>
      </c>
      <c r="AC39" s="2" t="s">
        <v>166</v>
      </c>
    </row>
    <row r="40" spans="1:29" x14ac:dyDescent="0.35">
      <c r="A40" t="s">
        <v>95</v>
      </c>
      <c r="B40" t="s">
        <v>99</v>
      </c>
      <c r="C40" t="s">
        <v>100</v>
      </c>
      <c r="D40" t="s">
        <v>41</v>
      </c>
      <c r="E40" t="s">
        <v>101</v>
      </c>
      <c r="F40" t="s">
        <v>101</v>
      </c>
      <c r="G40" s="2" t="s">
        <v>100</v>
      </c>
      <c r="H40">
        <f>VALUE(Tabla2[[#This Row],[CODIGO PDV]])</f>
        <v>66552</v>
      </c>
      <c r="I40" s="32" t="s">
        <v>157</v>
      </c>
      <c r="J40" s="2" t="s">
        <v>158</v>
      </c>
      <c r="K40" t="s">
        <v>96</v>
      </c>
      <c r="L40" t="s">
        <v>102</v>
      </c>
      <c r="M40" s="2" t="s">
        <v>75</v>
      </c>
      <c r="N40" t="s">
        <v>152</v>
      </c>
      <c r="O40" t="s">
        <v>92</v>
      </c>
      <c r="P40" s="2" t="s">
        <v>94</v>
      </c>
      <c r="Q40" t="s">
        <v>61</v>
      </c>
      <c r="R40" t="s">
        <v>61</v>
      </c>
      <c r="S40" s="79" t="s">
        <v>159</v>
      </c>
      <c r="T40" t="s">
        <v>160</v>
      </c>
      <c r="U40" t="s">
        <v>161</v>
      </c>
      <c r="V40" s="2" t="s">
        <v>162</v>
      </c>
      <c r="W40" s="2" t="s">
        <v>62</v>
      </c>
      <c r="Z40" s="2" t="s">
        <v>163</v>
      </c>
      <c r="AA40" s="2" t="s">
        <v>164</v>
      </c>
      <c r="AB40" s="2" t="s">
        <v>165</v>
      </c>
      <c r="AC40" s="2" t="s">
        <v>166</v>
      </c>
    </row>
    <row r="41" spans="1:29" x14ac:dyDescent="0.35">
      <c r="A41" t="s">
        <v>95</v>
      </c>
      <c r="B41" t="s">
        <v>99</v>
      </c>
      <c r="C41" t="s">
        <v>100</v>
      </c>
      <c r="D41" t="s">
        <v>41</v>
      </c>
      <c r="E41" t="s">
        <v>101</v>
      </c>
      <c r="F41" t="s">
        <v>101</v>
      </c>
      <c r="G41" s="2" t="s">
        <v>100</v>
      </c>
      <c r="H41">
        <f>VALUE(Tabla2[[#This Row],[CODIGO PDV]])</f>
        <v>66552</v>
      </c>
      <c r="I41" s="32" t="s">
        <v>157</v>
      </c>
      <c r="J41" s="2" t="s">
        <v>158</v>
      </c>
      <c r="K41" t="s">
        <v>96</v>
      </c>
      <c r="L41" t="s">
        <v>102</v>
      </c>
      <c r="M41" s="2" t="s">
        <v>75</v>
      </c>
      <c r="N41" t="s">
        <v>152</v>
      </c>
      <c r="O41" t="s">
        <v>93</v>
      </c>
      <c r="P41" s="2" t="s">
        <v>94</v>
      </c>
      <c r="Q41" t="s">
        <v>61</v>
      </c>
      <c r="R41" t="s">
        <v>61</v>
      </c>
      <c r="S41" s="79" t="s">
        <v>159</v>
      </c>
      <c r="T41" t="s">
        <v>160</v>
      </c>
      <c r="U41" t="s">
        <v>161</v>
      </c>
      <c r="V41" s="2" t="s">
        <v>162</v>
      </c>
      <c r="W41" s="2" t="s">
        <v>62</v>
      </c>
      <c r="Z41" s="2" t="s">
        <v>163</v>
      </c>
      <c r="AA41" s="2" t="s">
        <v>164</v>
      </c>
      <c r="AB41" s="2" t="s">
        <v>165</v>
      </c>
      <c r="AC41" s="2" t="s">
        <v>166</v>
      </c>
    </row>
    <row r="42" spans="1:29" x14ac:dyDescent="0.35">
      <c r="A42" t="s">
        <v>95</v>
      </c>
      <c r="B42" t="s">
        <v>99</v>
      </c>
      <c r="C42" t="s">
        <v>100</v>
      </c>
      <c r="D42" t="s">
        <v>41</v>
      </c>
      <c r="E42" t="s">
        <v>101</v>
      </c>
      <c r="F42" t="s">
        <v>101</v>
      </c>
      <c r="G42" s="2" t="s">
        <v>100</v>
      </c>
      <c r="H42">
        <f>VALUE(Tabla2[[#This Row],[CODIGO PDV]])</f>
        <v>66552</v>
      </c>
      <c r="I42" s="32" t="s">
        <v>157</v>
      </c>
      <c r="J42" s="2" t="s">
        <v>158</v>
      </c>
      <c r="K42" t="s">
        <v>96</v>
      </c>
      <c r="L42" t="s">
        <v>102</v>
      </c>
      <c r="M42" s="2" t="s">
        <v>75</v>
      </c>
      <c r="N42" t="s">
        <v>152</v>
      </c>
      <c r="O42" t="s">
        <v>129</v>
      </c>
      <c r="P42" s="2" t="s">
        <v>20</v>
      </c>
      <c r="Q42" t="s">
        <v>61</v>
      </c>
      <c r="R42" t="s">
        <v>61</v>
      </c>
      <c r="S42" s="79" t="s">
        <v>159</v>
      </c>
      <c r="T42" t="s">
        <v>160</v>
      </c>
      <c r="U42" t="s">
        <v>161</v>
      </c>
      <c r="V42" s="2" t="s">
        <v>162</v>
      </c>
      <c r="W42" s="2" t="s">
        <v>62</v>
      </c>
      <c r="Z42" s="2" t="s">
        <v>163</v>
      </c>
      <c r="AA42" s="2" t="s">
        <v>164</v>
      </c>
      <c r="AB42" s="2" t="s">
        <v>165</v>
      </c>
      <c r="AC42" s="2" t="s">
        <v>166</v>
      </c>
    </row>
    <row r="43" spans="1:29" x14ac:dyDescent="0.35">
      <c r="A43" t="s">
        <v>95</v>
      </c>
      <c r="B43" t="s">
        <v>99</v>
      </c>
      <c r="C43" t="s">
        <v>100</v>
      </c>
      <c r="D43" t="s">
        <v>41</v>
      </c>
      <c r="E43" t="s">
        <v>101</v>
      </c>
      <c r="F43" t="s">
        <v>101</v>
      </c>
      <c r="G43" s="2" t="s">
        <v>100</v>
      </c>
      <c r="H43">
        <f>VALUE(Tabla2[[#This Row],[CODIGO PDV]])</f>
        <v>66552</v>
      </c>
      <c r="I43" s="32" t="s">
        <v>157</v>
      </c>
      <c r="J43" s="2" t="s">
        <v>158</v>
      </c>
      <c r="K43" t="s">
        <v>96</v>
      </c>
      <c r="L43" t="s">
        <v>102</v>
      </c>
      <c r="M43" s="2" t="s">
        <v>75</v>
      </c>
      <c r="N43" t="s">
        <v>152</v>
      </c>
      <c r="O43" t="s">
        <v>121</v>
      </c>
      <c r="P43" s="2" t="s">
        <v>20</v>
      </c>
      <c r="Q43" t="s">
        <v>61</v>
      </c>
      <c r="R43" t="s">
        <v>61</v>
      </c>
      <c r="S43" s="79" t="s">
        <v>159</v>
      </c>
      <c r="T43" t="s">
        <v>160</v>
      </c>
      <c r="U43" t="s">
        <v>161</v>
      </c>
      <c r="V43" s="2" t="s">
        <v>162</v>
      </c>
      <c r="W43" s="2" t="s">
        <v>62</v>
      </c>
      <c r="Z43" s="2" t="s">
        <v>163</v>
      </c>
      <c r="AA43" s="2" t="s">
        <v>164</v>
      </c>
      <c r="AB43" s="2" t="s">
        <v>165</v>
      </c>
      <c r="AC43" s="2" t="s">
        <v>166</v>
      </c>
    </row>
    <row r="44" spans="1:29" x14ac:dyDescent="0.35">
      <c r="A44" t="s">
        <v>95</v>
      </c>
      <c r="B44" t="s">
        <v>99</v>
      </c>
      <c r="C44" t="s">
        <v>100</v>
      </c>
      <c r="D44" t="s">
        <v>41</v>
      </c>
      <c r="E44" t="s">
        <v>101</v>
      </c>
      <c r="F44" t="s">
        <v>101</v>
      </c>
      <c r="G44" s="2" t="s">
        <v>100</v>
      </c>
      <c r="H44">
        <f>VALUE(Tabla2[[#This Row],[CODIGO PDV]])</f>
        <v>66552</v>
      </c>
      <c r="I44" s="32" t="s">
        <v>157</v>
      </c>
      <c r="J44" s="2" t="s">
        <v>158</v>
      </c>
      <c r="K44" t="s">
        <v>96</v>
      </c>
      <c r="L44" t="s">
        <v>102</v>
      </c>
      <c r="M44" s="2" t="s">
        <v>75</v>
      </c>
      <c r="N44" t="s">
        <v>152</v>
      </c>
      <c r="O44" t="s">
        <v>131</v>
      </c>
      <c r="P44" s="2" t="s">
        <v>20</v>
      </c>
      <c r="Q44" t="s">
        <v>61</v>
      </c>
      <c r="R44" t="s">
        <v>61</v>
      </c>
      <c r="S44" s="79" t="s">
        <v>159</v>
      </c>
      <c r="T44" t="s">
        <v>160</v>
      </c>
      <c r="U44" t="s">
        <v>161</v>
      </c>
      <c r="V44" s="2" t="s">
        <v>162</v>
      </c>
      <c r="W44" s="2" t="s">
        <v>62</v>
      </c>
      <c r="Z44" s="2" t="s">
        <v>163</v>
      </c>
      <c r="AA44" s="2" t="s">
        <v>164</v>
      </c>
      <c r="AB44" s="2" t="s">
        <v>165</v>
      </c>
      <c r="AC44" s="2" t="s">
        <v>166</v>
      </c>
    </row>
    <row r="45" spans="1:29" x14ac:dyDescent="0.35">
      <c r="A45" t="s">
        <v>95</v>
      </c>
      <c r="B45" t="s">
        <v>99</v>
      </c>
      <c r="C45" t="s">
        <v>100</v>
      </c>
      <c r="D45" t="s">
        <v>41</v>
      </c>
      <c r="E45" t="s">
        <v>101</v>
      </c>
      <c r="F45" t="s">
        <v>101</v>
      </c>
      <c r="G45" s="2" t="s">
        <v>100</v>
      </c>
      <c r="H45">
        <f>VALUE(Tabla2[[#This Row],[CODIGO PDV]])</f>
        <v>66552</v>
      </c>
      <c r="I45" s="32" t="s">
        <v>157</v>
      </c>
      <c r="J45" s="2" t="s">
        <v>158</v>
      </c>
      <c r="K45" t="s">
        <v>96</v>
      </c>
      <c r="L45" t="s">
        <v>102</v>
      </c>
      <c r="M45" s="2" t="s">
        <v>75</v>
      </c>
      <c r="N45" t="s">
        <v>152</v>
      </c>
      <c r="O45" t="s">
        <v>112</v>
      </c>
      <c r="P45" s="2" t="s">
        <v>41</v>
      </c>
      <c r="Q45" t="s">
        <v>61</v>
      </c>
      <c r="R45" t="s">
        <v>61</v>
      </c>
      <c r="S45" s="79" t="s">
        <v>159</v>
      </c>
      <c r="T45" t="s">
        <v>160</v>
      </c>
      <c r="U45" t="s">
        <v>161</v>
      </c>
      <c r="V45" s="2" t="s">
        <v>162</v>
      </c>
      <c r="W45" s="2" t="s">
        <v>62</v>
      </c>
      <c r="Z45" s="2" t="s">
        <v>163</v>
      </c>
      <c r="AA45" s="2" t="s">
        <v>164</v>
      </c>
      <c r="AB45" s="2" t="s">
        <v>165</v>
      </c>
      <c r="AC45" s="2" t="s">
        <v>166</v>
      </c>
    </row>
    <row r="46" spans="1:29" x14ac:dyDescent="0.35">
      <c r="A46" t="s">
        <v>95</v>
      </c>
      <c r="B46" t="s">
        <v>99</v>
      </c>
      <c r="C46" t="s">
        <v>100</v>
      </c>
      <c r="D46" t="s">
        <v>41</v>
      </c>
      <c r="E46" t="s">
        <v>101</v>
      </c>
      <c r="F46" t="s">
        <v>101</v>
      </c>
      <c r="G46" s="2" t="s">
        <v>100</v>
      </c>
      <c r="H46">
        <f>VALUE(Tabla2[[#This Row],[CODIGO PDV]])</f>
        <v>66552</v>
      </c>
      <c r="I46" s="32" t="s">
        <v>157</v>
      </c>
      <c r="J46" s="2" t="s">
        <v>158</v>
      </c>
      <c r="K46" t="s">
        <v>96</v>
      </c>
      <c r="L46" t="s">
        <v>102</v>
      </c>
      <c r="M46" s="2" t="s">
        <v>75</v>
      </c>
      <c r="N46" t="s">
        <v>152</v>
      </c>
      <c r="O46" t="s">
        <v>125</v>
      </c>
      <c r="P46" s="2" t="s">
        <v>20</v>
      </c>
      <c r="Q46" t="s">
        <v>61</v>
      </c>
      <c r="R46" t="s">
        <v>61</v>
      </c>
      <c r="S46" s="79" t="s">
        <v>159</v>
      </c>
      <c r="T46" t="s">
        <v>160</v>
      </c>
      <c r="U46" t="s">
        <v>161</v>
      </c>
      <c r="V46" s="2" t="s">
        <v>162</v>
      </c>
      <c r="W46" s="2" t="s">
        <v>62</v>
      </c>
      <c r="Z46" s="2" t="s">
        <v>163</v>
      </c>
      <c r="AA46" s="2" t="s">
        <v>164</v>
      </c>
      <c r="AB46" s="2" t="s">
        <v>165</v>
      </c>
      <c r="AC46" s="2" t="s">
        <v>166</v>
      </c>
    </row>
    <row r="47" spans="1:29" x14ac:dyDescent="0.35">
      <c r="A47" t="s">
        <v>95</v>
      </c>
      <c r="B47" t="s">
        <v>99</v>
      </c>
      <c r="C47" t="s">
        <v>100</v>
      </c>
      <c r="D47" t="s">
        <v>41</v>
      </c>
      <c r="E47" t="s">
        <v>101</v>
      </c>
      <c r="F47" t="s">
        <v>101</v>
      </c>
      <c r="G47" s="2" t="s">
        <v>100</v>
      </c>
      <c r="H47">
        <f>VALUE(Tabla2[[#This Row],[CODIGO PDV]])</f>
        <v>66552</v>
      </c>
      <c r="I47" s="32" t="s">
        <v>157</v>
      </c>
      <c r="J47" s="2" t="s">
        <v>158</v>
      </c>
      <c r="K47" t="s">
        <v>96</v>
      </c>
      <c r="L47" t="s">
        <v>102</v>
      </c>
      <c r="M47" s="2" t="s">
        <v>75</v>
      </c>
      <c r="N47" t="s">
        <v>152</v>
      </c>
      <c r="O47" t="s">
        <v>126</v>
      </c>
      <c r="P47" s="2" t="s">
        <v>94</v>
      </c>
      <c r="Q47" t="s">
        <v>61</v>
      </c>
      <c r="R47" t="s">
        <v>61</v>
      </c>
      <c r="S47" s="79" t="s">
        <v>159</v>
      </c>
      <c r="T47" t="s">
        <v>160</v>
      </c>
      <c r="U47" t="s">
        <v>161</v>
      </c>
      <c r="V47" s="2" t="s">
        <v>162</v>
      </c>
      <c r="W47" s="2" t="s">
        <v>62</v>
      </c>
      <c r="Z47" s="2" t="s">
        <v>163</v>
      </c>
      <c r="AA47" s="2" t="s">
        <v>164</v>
      </c>
      <c r="AB47" s="2" t="s">
        <v>165</v>
      </c>
      <c r="AC47" s="2" t="s">
        <v>166</v>
      </c>
    </row>
    <row r="48" spans="1:29" x14ac:dyDescent="0.35">
      <c r="A48" t="s">
        <v>95</v>
      </c>
      <c r="B48" t="s">
        <v>99</v>
      </c>
      <c r="C48" t="s">
        <v>100</v>
      </c>
      <c r="D48" t="s">
        <v>41</v>
      </c>
      <c r="E48" t="s">
        <v>101</v>
      </c>
      <c r="F48" t="s">
        <v>101</v>
      </c>
      <c r="G48" s="2" t="s">
        <v>100</v>
      </c>
      <c r="H48">
        <f>VALUE(Tabla2[[#This Row],[CODIGO PDV]])</f>
        <v>66552</v>
      </c>
      <c r="I48" s="32" t="s">
        <v>157</v>
      </c>
      <c r="J48" s="2" t="s">
        <v>158</v>
      </c>
      <c r="K48" t="s">
        <v>96</v>
      </c>
      <c r="L48" t="s">
        <v>102</v>
      </c>
      <c r="M48" s="2" t="s">
        <v>75</v>
      </c>
      <c r="N48" t="s">
        <v>152</v>
      </c>
      <c r="O48" t="s">
        <v>127</v>
      </c>
      <c r="P48" s="2" t="s">
        <v>20</v>
      </c>
      <c r="Q48" t="s">
        <v>61</v>
      </c>
      <c r="R48" t="s">
        <v>61</v>
      </c>
      <c r="S48" s="79" t="s">
        <v>159</v>
      </c>
      <c r="T48" t="s">
        <v>160</v>
      </c>
      <c r="U48" t="s">
        <v>161</v>
      </c>
      <c r="V48" s="2" t="s">
        <v>162</v>
      </c>
      <c r="W48" s="2" t="s">
        <v>62</v>
      </c>
      <c r="Z48" s="2" t="s">
        <v>163</v>
      </c>
      <c r="AA48" s="2" t="s">
        <v>164</v>
      </c>
      <c r="AB48" s="2" t="s">
        <v>165</v>
      </c>
      <c r="AC48" s="2" t="s">
        <v>166</v>
      </c>
    </row>
    <row r="49" spans="1:29" x14ac:dyDescent="0.35">
      <c r="A49" t="s">
        <v>95</v>
      </c>
      <c r="B49" t="s">
        <v>99</v>
      </c>
      <c r="C49" t="s">
        <v>100</v>
      </c>
      <c r="D49" t="s">
        <v>41</v>
      </c>
      <c r="E49" t="s">
        <v>101</v>
      </c>
      <c r="F49" t="s">
        <v>101</v>
      </c>
      <c r="G49" s="2" t="s">
        <v>100</v>
      </c>
      <c r="H49">
        <f>VALUE(Tabla2[[#This Row],[CODIGO PDV]])</f>
        <v>66552</v>
      </c>
      <c r="I49" s="32" t="s">
        <v>157</v>
      </c>
      <c r="J49" s="2" t="s">
        <v>158</v>
      </c>
      <c r="K49" t="s">
        <v>96</v>
      </c>
      <c r="L49" t="s">
        <v>102</v>
      </c>
      <c r="M49" s="2" t="s">
        <v>75</v>
      </c>
      <c r="N49" t="s">
        <v>152</v>
      </c>
      <c r="O49" t="s">
        <v>113</v>
      </c>
      <c r="P49" s="2" t="s">
        <v>149</v>
      </c>
      <c r="Q49" t="s">
        <v>61</v>
      </c>
      <c r="R49" t="s">
        <v>61</v>
      </c>
      <c r="S49" s="79" t="s">
        <v>159</v>
      </c>
      <c r="T49" t="s">
        <v>160</v>
      </c>
      <c r="U49" t="s">
        <v>161</v>
      </c>
      <c r="V49" s="2" t="s">
        <v>162</v>
      </c>
      <c r="W49" s="2" t="s">
        <v>62</v>
      </c>
      <c r="Z49" s="2" t="s">
        <v>163</v>
      </c>
      <c r="AA49" s="2" t="s">
        <v>164</v>
      </c>
      <c r="AB49" s="2" t="s">
        <v>165</v>
      </c>
      <c r="AC49" s="2" t="s">
        <v>166</v>
      </c>
    </row>
    <row r="50" spans="1:29" x14ac:dyDescent="0.35">
      <c r="A50" t="s">
        <v>95</v>
      </c>
      <c r="B50" t="s">
        <v>99</v>
      </c>
      <c r="C50" t="s">
        <v>100</v>
      </c>
      <c r="D50" t="s">
        <v>41</v>
      </c>
      <c r="E50" t="s">
        <v>101</v>
      </c>
      <c r="F50" t="s">
        <v>101</v>
      </c>
      <c r="G50" s="2" t="s">
        <v>100</v>
      </c>
      <c r="H50">
        <f>VALUE(Tabla2[[#This Row],[CODIGO PDV]])</f>
        <v>66552</v>
      </c>
      <c r="I50" s="32" t="s">
        <v>157</v>
      </c>
      <c r="J50" s="2" t="s">
        <v>158</v>
      </c>
      <c r="K50" t="s">
        <v>96</v>
      </c>
      <c r="L50" t="s">
        <v>102</v>
      </c>
      <c r="M50" s="2" t="s">
        <v>75</v>
      </c>
      <c r="N50" t="s">
        <v>152</v>
      </c>
      <c r="O50" t="s">
        <v>114</v>
      </c>
      <c r="P50" s="2" t="s">
        <v>20</v>
      </c>
      <c r="Q50" t="s">
        <v>61</v>
      </c>
      <c r="R50" t="s">
        <v>61</v>
      </c>
      <c r="S50" s="79" t="s">
        <v>159</v>
      </c>
      <c r="T50" t="s">
        <v>160</v>
      </c>
      <c r="U50" t="s">
        <v>161</v>
      </c>
      <c r="V50" s="2" t="s">
        <v>162</v>
      </c>
      <c r="W50" s="2" t="s">
        <v>62</v>
      </c>
      <c r="Z50" s="2" t="s">
        <v>163</v>
      </c>
      <c r="AA50" s="2" t="s">
        <v>164</v>
      </c>
      <c r="AB50" s="2" t="s">
        <v>165</v>
      </c>
      <c r="AC50" s="2" t="s">
        <v>166</v>
      </c>
    </row>
    <row r="51" spans="1:29" x14ac:dyDescent="0.35">
      <c r="A51" t="s">
        <v>95</v>
      </c>
      <c r="B51" t="s">
        <v>99</v>
      </c>
      <c r="C51" t="s">
        <v>100</v>
      </c>
      <c r="D51" t="s">
        <v>41</v>
      </c>
      <c r="E51" t="s">
        <v>101</v>
      </c>
      <c r="F51" t="s">
        <v>101</v>
      </c>
      <c r="G51" s="2" t="s">
        <v>100</v>
      </c>
      <c r="H51">
        <f>VALUE(Tabla2[[#This Row],[CODIGO PDV]])</f>
        <v>66552</v>
      </c>
      <c r="I51" s="32" t="s">
        <v>157</v>
      </c>
      <c r="J51" s="2" t="s">
        <v>158</v>
      </c>
      <c r="K51" t="s">
        <v>96</v>
      </c>
      <c r="L51" t="s">
        <v>102</v>
      </c>
      <c r="M51" s="2" t="s">
        <v>75</v>
      </c>
      <c r="N51" t="s">
        <v>152</v>
      </c>
      <c r="O51" t="s">
        <v>128</v>
      </c>
      <c r="P51" s="2" t="s">
        <v>20</v>
      </c>
      <c r="Q51" t="s">
        <v>61</v>
      </c>
      <c r="R51" t="s">
        <v>61</v>
      </c>
      <c r="S51" s="79" t="s">
        <v>159</v>
      </c>
      <c r="T51" t="s">
        <v>160</v>
      </c>
      <c r="U51" t="s">
        <v>161</v>
      </c>
      <c r="V51" s="2" t="s">
        <v>162</v>
      </c>
      <c r="W51" s="2" t="s">
        <v>62</v>
      </c>
      <c r="Z51" s="2" t="s">
        <v>163</v>
      </c>
      <c r="AA51" s="2" t="s">
        <v>164</v>
      </c>
      <c r="AB51" s="2" t="s">
        <v>165</v>
      </c>
      <c r="AC51" s="2" t="s">
        <v>166</v>
      </c>
    </row>
    <row r="52" spans="1:29" x14ac:dyDescent="0.35">
      <c r="A52" t="s">
        <v>95</v>
      </c>
      <c r="B52" t="s">
        <v>99</v>
      </c>
      <c r="C52" t="s">
        <v>100</v>
      </c>
      <c r="D52" t="s">
        <v>41</v>
      </c>
      <c r="E52" t="s">
        <v>101</v>
      </c>
      <c r="F52" t="s">
        <v>101</v>
      </c>
      <c r="G52" s="2" t="s">
        <v>100</v>
      </c>
      <c r="H52">
        <f>VALUE(Tabla2[[#This Row],[CODIGO PDV]])</f>
        <v>66552</v>
      </c>
      <c r="I52" s="32" t="s">
        <v>157</v>
      </c>
      <c r="J52" s="2" t="s">
        <v>158</v>
      </c>
      <c r="K52" t="s">
        <v>96</v>
      </c>
      <c r="L52" t="s">
        <v>102</v>
      </c>
      <c r="M52" s="2" t="s">
        <v>75</v>
      </c>
      <c r="N52" t="s">
        <v>152</v>
      </c>
      <c r="O52" t="s">
        <v>115</v>
      </c>
      <c r="P52" s="2" t="s">
        <v>20</v>
      </c>
      <c r="Q52" t="s">
        <v>61</v>
      </c>
      <c r="R52" t="s">
        <v>61</v>
      </c>
      <c r="S52" s="79" t="s">
        <v>159</v>
      </c>
      <c r="T52" t="s">
        <v>160</v>
      </c>
      <c r="U52" t="s">
        <v>161</v>
      </c>
      <c r="V52" s="2" t="s">
        <v>162</v>
      </c>
      <c r="W52" s="2" t="s">
        <v>62</v>
      </c>
      <c r="Z52" s="2" t="s">
        <v>163</v>
      </c>
      <c r="AA52" s="2" t="s">
        <v>164</v>
      </c>
      <c r="AB52" s="2" t="s">
        <v>165</v>
      </c>
      <c r="AC52" s="2" t="s">
        <v>166</v>
      </c>
    </row>
    <row r="53" spans="1:29" x14ac:dyDescent="0.35">
      <c r="A53" t="s">
        <v>95</v>
      </c>
      <c r="B53" t="s">
        <v>99</v>
      </c>
      <c r="C53" t="s">
        <v>100</v>
      </c>
      <c r="D53" t="s">
        <v>41</v>
      </c>
      <c r="E53" t="s">
        <v>101</v>
      </c>
      <c r="F53" t="s">
        <v>101</v>
      </c>
      <c r="G53" s="2" t="s">
        <v>100</v>
      </c>
      <c r="H53">
        <f>VALUE(Tabla2[[#This Row],[CODIGO PDV]])</f>
        <v>66552</v>
      </c>
      <c r="I53" s="32" t="s">
        <v>157</v>
      </c>
      <c r="J53" s="2" t="s">
        <v>158</v>
      </c>
      <c r="K53" t="s">
        <v>96</v>
      </c>
      <c r="L53" t="s">
        <v>102</v>
      </c>
      <c r="M53" s="2" t="s">
        <v>75</v>
      </c>
      <c r="N53" t="s">
        <v>152</v>
      </c>
      <c r="O53" t="s">
        <v>116</v>
      </c>
      <c r="P53" s="2" t="s">
        <v>20</v>
      </c>
      <c r="Q53" t="s">
        <v>61</v>
      </c>
      <c r="R53" t="s">
        <v>61</v>
      </c>
      <c r="S53" s="79" t="s">
        <v>159</v>
      </c>
      <c r="T53" t="s">
        <v>160</v>
      </c>
      <c r="U53" t="s">
        <v>161</v>
      </c>
      <c r="V53" s="2" t="s">
        <v>162</v>
      </c>
      <c r="W53" s="2" t="s">
        <v>62</v>
      </c>
      <c r="Z53" s="2" t="s">
        <v>163</v>
      </c>
      <c r="AA53" s="2" t="s">
        <v>164</v>
      </c>
      <c r="AB53" s="2" t="s">
        <v>165</v>
      </c>
      <c r="AC53" s="2" t="s">
        <v>166</v>
      </c>
    </row>
    <row r="54" spans="1:29" x14ac:dyDescent="0.35">
      <c r="A54" t="s">
        <v>95</v>
      </c>
      <c r="B54" t="s">
        <v>99</v>
      </c>
      <c r="C54" t="s">
        <v>100</v>
      </c>
      <c r="D54" t="s">
        <v>41</v>
      </c>
      <c r="E54" t="s">
        <v>101</v>
      </c>
      <c r="F54" t="s">
        <v>101</v>
      </c>
      <c r="G54" s="2" t="s">
        <v>100</v>
      </c>
      <c r="H54">
        <f>VALUE(Tabla2[[#This Row],[CODIGO PDV]])</f>
        <v>66552</v>
      </c>
      <c r="I54" s="32" t="s">
        <v>157</v>
      </c>
      <c r="J54" s="2" t="s">
        <v>158</v>
      </c>
      <c r="K54" t="s">
        <v>96</v>
      </c>
      <c r="L54" t="s">
        <v>102</v>
      </c>
      <c r="M54" s="2" t="s">
        <v>75</v>
      </c>
      <c r="N54" t="s">
        <v>152</v>
      </c>
      <c r="O54" t="s">
        <v>117</v>
      </c>
      <c r="P54" s="2" t="s">
        <v>94</v>
      </c>
      <c r="Q54" t="s">
        <v>61</v>
      </c>
      <c r="R54" t="s">
        <v>61</v>
      </c>
      <c r="S54" s="79" t="s">
        <v>159</v>
      </c>
      <c r="T54" t="s">
        <v>160</v>
      </c>
      <c r="U54" t="s">
        <v>161</v>
      </c>
      <c r="V54" s="2" t="s">
        <v>162</v>
      </c>
      <c r="W54" s="2" t="s">
        <v>62</v>
      </c>
      <c r="Z54" s="2" t="s">
        <v>163</v>
      </c>
      <c r="AA54" s="2" t="s">
        <v>164</v>
      </c>
      <c r="AB54" s="2" t="s">
        <v>165</v>
      </c>
      <c r="AC54" s="2" t="s">
        <v>166</v>
      </c>
    </row>
    <row r="55" spans="1:29" x14ac:dyDescent="0.35">
      <c r="A55" t="s">
        <v>95</v>
      </c>
      <c r="B55" t="s">
        <v>99</v>
      </c>
      <c r="C55" t="s">
        <v>100</v>
      </c>
      <c r="D55" t="s">
        <v>14</v>
      </c>
      <c r="E55" t="s">
        <v>101</v>
      </c>
      <c r="F55" t="s">
        <v>101</v>
      </c>
      <c r="G55" s="2" t="s">
        <v>100</v>
      </c>
      <c r="H55">
        <f>VALUE(Tabla2[[#This Row],[CODIGO PDV]])</f>
        <v>424808</v>
      </c>
      <c r="I55" s="32" t="s">
        <v>167</v>
      </c>
      <c r="J55" s="2" t="s">
        <v>168</v>
      </c>
      <c r="K55" t="s">
        <v>96</v>
      </c>
      <c r="L55" t="s">
        <v>102</v>
      </c>
      <c r="M55" s="2" t="s">
        <v>75</v>
      </c>
      <c r="N55" t="s">
        <v>152</v>
      </c>
      <c r="O55" t="s">
        <v>109</v>
      </c>
      <c r="P55" s="2" t="s">
        <v>20</v>
      </c>
      <c r="Q55" t="s">
        <v>61</v>
      </c>
      <c r="R55" t="s">
        <v>61</v>
      </c>
      <c r="S55" s="79" t="s">
        <v>169</v>
      </c>
      <c r="T55" t="s">
        <v>170</v>
      </c>
      <c r="U55" t="s">
        <v>171</v>
      </c>
      <c r="V55" s="2" t="s">
        <v>172</v>
      </c>
      <c r="W55" s="2" t="s">
        <v>62</v>
      </c>
      <c r="Z55" s="2" t="s">
        <v>163</v>
      </c>
      <c r="AA55" s="2" t="s">
        <v>164</v>
      </c>
      <c r="AB55" s="2" t="s">
        <v>165</v>
      </c>
      <c r="AC55" s="2" t="s">
        <v>166</v>
      </c>
    </row>
    <row r="56" spans="1:29" x14ac:dyDescent="0.35">
      <c r="A56" t="s">
        <v>95</v>
      </c>
      <c r="B56" t="s">
        <v>99</v>
      </c>
      <c r="C56" t="s">
        <v>100</v>
      </c>
      <c r="D56" t="s">
        <v>14</v>
      </c>
      <c r="E56" t="s">
        <v>101</v>
      </c>
      <c r="F56" t="s">
        <v>101</v>
      </c>
      <c r="G56" s="2" t="s">
        <v>100</v>
      </c>
      <c r="H56">
        <f>VALUE(Tabla2[[#This Row],[CODIGO PDV]])</f>
        <v>424808</v>
      </c>
      <c r="I56" s="32" t="s">
        <v>167</v>
      </c>
      <c r="J56" s="2" t="s">
        <v>168</v>
      </c>
      <c r="K56" t="s">
        <v>96</v>
      </c>
      <c r="L56" t="s">
        <v>102</v>
      </c>
      <c r="M56" s="2" t="s">
        <v>75</v>
      </c>
      <c r="N56" t="s">
        <v>152</v>
      </c>
      <c r="O56" t="s">
        <v>86</v>
      </c>
      <c r="P56" s="2" t="s">
        <v>20</v>
      </c>
      <c r="Q56" t="s">
        <v>61</v>
      </c>
      <c r="R56" t="s">
        <v>61</v>
      </c>
      <c r="S56" s="79" t="s">
        <v>169</v>
      </c>
      <c r="T56" t="s">
        <v>170</v>
      </c>
      <c r="U56" t="s">
        <v>171</v>
      </c>
      <c r="V56" s="2" t="s">
        <v>172</v>
      </c>
      <c r="W56" s="2" t="s">
        <v>62</v>
      </c>
      <c r="Z56" s="2" t="s">
        <v>163</v>
      </c>
      <c r="AA56" s="2" t="s">
        <v>164</v>
      </c>
      <c r="AB56" s="2" t="s">
        <v>165</v>
      </c>
      <c r="AC56" s="2" t="s">
        <v>166</v>
      </c>
    </row>
    <row r="57" spans="1:29" x14ac:dyDescent="0.35">
      <c r="A57" t="s">
        <v>95</v>
      </c>
      <c r="B57" t="s">
        <v>99</v>
      </c>
      <c r="C57" t="s">
        <v>100</v>
      </c>
      <c r="D57" t="s">
        <v>14</v>
      </c>
      <c r="E57" t="s">
        <v>101</v>
      </c>
      <c r="F57" t="s">
        <v>101</v>
      </c>
      <c r="G57" s="2" t="s">
        <v>100</v>
      </c>
      <c r="H57">
        <f>VALUE(Tabla2[[#This Row],[CODIGO PDV]])</f>
        <v>424808</v>
      </c>
      <c r="I57" s="32" t="s">
        <v>167</v>
      </c>
      <c r="J57" s="2" t="s">
        <v>168</v>
      </c>
      <c r="K57" t="s">
        <v>96</v>
      </c>
      <c r="L57" t="s">
        <v>102</v>
      </c>
      <c r="M57" s="2" t="s">
        <v>75</v>
      </c>
      <c r="N57" t="s">
        <v>152</v>
      </c>
      <c r="O57" t="s">
        <v>87</v>
      </c>
      <c r="P57" s="2" t="s">
        <v>20</v>
      </c>
      <c r="Q57" t="s">
        <v>61</v>
      </c>
      <c r="R57" t="s">
        <v>61</v>
      </c>
      <c r="S57" s="79" t="s">
        <v>169</v>
      </c>
      <c r="T57" t="s">
        <v>170</v>
      </c>
      <c r="U57" t="s">
        <v>171</v>
      </c>
      <c r="V57" s="2" t="s">
        <v>172</v>
      </c>
      <c r="W57" s="2" t="s">
        <v>62</v>
      </c>
      <c r="Z57" s="2" t="s">
        <v>163</v>
      </c>
      <c r="AA57" s="2" t="s">
        <v>164</v>
      </c>
      <c r="AB57" s="2" t="s">
        <v>165</v>
      </c>
      <c r="AC57" s="2" t="s">
        <v>166</v>
      </c>
    </row>
    <row r="58" spans="1:29" x14ac:dyDescent="0.35">
      <c r="A58" t="s">
        <v>95</v>
      </c>
      <c r="B58" t="s">
        <v>99</v>
      </c>
      <c r="C58" t="s">
        <v>100</v>
      </c>
      <c r="D58" t="s">
        <v>14</v>
      </c>
      <c r="E58" t="s">
        <v>101</v>
      </c>
      <c r="F58" t="s">
        <v>101</v>
      </c>
      <c r="G58" s="2" t="s">
        <v>100</v>
      </c>
      <c r="H58">
        <f>VALUE(Tabla2[[#This Row],[CODIGO PDV]])</f>
        <v>424808</v>
      </c>
      <c r="I58" s="32" t="s">
        <v>167</v>
      </c>
      <c r="J58" s="2" t="s">
        <v>168</v>
      </c>
      <c r="K58" t="s">
        <v>96</v>
      </c>
      <c r="L58" t="s">
        <v>102</v>
      </c>
      <c r="M58" s="2" t="s">
        <v>75</v>
      </c>
      <c r="N58" t="s">
        <v>152</v>
      </c>
      <c r="O58" t="s">
        <v>110</v>
      </c>
      <c r="P58" s="2" t="s">
        <v>20</v>
      </c>
      <c r="Q58" t="s">
        <v>61</v>
      </c>
      <c r="R58" t="s">
        <v>61</v>
      </c>
      <c r="S58" s="79" t="s">
        <v>169</v>
      </c>
      <c r="T58" t="s">
        <v>170</v>
      </c>
      <c r="U58" t="s">
        <v>171</v>
      </c>
      <c r="V58" s="2" t="s">
        <v>172</v>
      </c>
      <c r="W58" s="2" t="s">
        <v>62</v>
      </c>
      <c r="Z58" s="2" t="s">
        <v>163</v>
      </c>
      <c r="AA58" s="2" t="s">
        <v>164</v>
      </c>
      <c r="AB58" s="2" t="s">
        <v>165</v>
      </c>
      <c r="AC58" s="2" t="s">
        <v>166</v>
      </c>
    </row>
    <row r="59" spans="1:29" x14ac:dyDescent="0.35">
      <c r="A59" t="s">
        <v>95</v>
      </c>
      <c r="B59" t="s">
        <v>99</v>
      </c>
      <c r="C59" t="s">
        <v>100</v>
      </c>
      <c r="D59" t="s">
        <v>14</v>
      </c>
      <c r="E59" t="s">
        <v>101</v>
      </c>
      <c r="F59" t="s">
        <v>101</v>
      </c>
      <c r="G59" s="2" t="s">
        <v>100</v>
      </c>
      <c r="H59">
        <f>VALUE(Tabla2[[#This Row],[CODIGO PDV]])</f>
        <v>424808</v>
      </c>
      <c r="I59" s="32" t="s">
        <v>167</v>
      </c>
      <c r="J59" s="2" t="s">
        <v>168</v>
      </c>
      <c r="K59" t="s">
        <v>96</v>
      </c>
      <c r="L59" t="s">
        <v>102</v>
      </c>
      <c r="M59" s="2" t="s">
        <v>75</v>
      </c>
      <c r="N59" t="s">
        <v>152</v>
      </c>
      <c r="O59" t="s">
        <v>35</v>
      </c>
      <c r="P59" s="2" t="s">
        <v>20</v>
      </c>
      <c r="Q59" t="s">
        <v>61</v>
      </c>
      <c r="R59" t="s">
        <v>61</v>
      </c>
      <c r="S59" s="79" t="s">
        <v>169</v>
      </c>
      <c r="T59" t="s">
        <v>170</v>
      </c>
      <c r="U59" t="s">
        <v>171</v>
      </c>
      <c r="V59" s="2" t="s">
        <v>172</v>
      </c>
      <c r="W59" s="2" t="s">
        <v>62</v>
      </c>
      <c r="Z59" s="2" t="s">
        <v>163</v>
      </c>
      <c r="AA59" s="2" t="s">
        <v>164</v>
      </c>
      <c r="AB59" s="2" t="s">
        <v>165</v>
      </c>
      <c r="AC59" s="2" t="s">
        <v>166</v>
      </c>
    </row>
    <row r="60" spans="1:29" x14ac:dyDescent="0.35">
      <c r="A60" t="s">
        <v>95</v>
      </c>
      <c r="B60" t="s">
        <v>99</v>
      </c>
      <c r="C60" t="s">
        <v>100</v>
      </c>
      <c r="D60" t="s">
        <v>14</v>
      </c>
      <c r="E60" t="s">
        <v>101</v>
      </c>
      <c r="F60" t="s">
        <v>101</v>
      </c>
      <c r="G60" s="2" t="s">
        <v>100</v>
      </c>
      <c r="H60">
        <f>VALUE(Tabla2[[#This Row],[CODIGO PDV]])</f>
        <v>424808</v>
      </c>
      <c r="I60" s="32" t="s">
        <v>167</v>
      </c>
      <c r="J60" s="2" t="s">
        <v>168</v>
      </c>
      <c r="K60" t="s">
        <v>96</v>
      </c>
      <c r="L60" t="s">
        <v>102</v>
      </c>
      <c r="M60" s="2" t="s">
        <v>75</v>
      </c>
      <c r="N60" t="s">
        <v>152</v>
      </c>
      <c r="O60" t="s">
        <v>111</v>
      </c>
      <c r="P60" s="2" t="s">
        <v>94</v>
      </c>
      <c r="Q60" t="s">
        <v>61</v>
      </c>
      <c r="R60" t="s">
        <v>61</v>
      </c>
      <c r="S60" s="79" t="s">
        <v>169</v>
      </c>
      <c r="T60" t="s">
        <v>170</v>
      </c>
      <c r="U60" t="s">
        <v>171</v>
      </c>
      <c r="V60" s="2" t="s">
        <v>172</v>
      </c>
      <c r="W60" s="2" t="s">
        <v>62</v>
      </c>
      <c r="Z60" s="2" t="s">
        <v>163</v>
      </c>
      <c r="AA60" s="2" t="s">
        <v>164</v>
      </c>
      <c r="AB60" s="2" t="s">
        <v>165</v>
      </c>
      <c r="AC60" s="2" t="s">
        <v>166</v>
      </c>
    </row>
    <row r="61" spans="1:29" x14ac:dyDescent="0.35">
      <c r="A61" t="s">
        <v>95</v>
      </c>
      <c r="B61" t="s">
        <v>99</v>
      </c>
      <c r="C61" t="s">
        <v>100</v>
      </c>
      <c r="D61" t="s">
        <v>14</v>
      </c>
      <c r="E61" t="s">
        <v>101</v>
      </c>
      <c r="F61" t="s">
        <v>101</v>
      </c>
      <c r="G61" s="2" t="s">
        <v>100</v>
      </c>
      <c r="H61">
        <f>VALUE(Tabla2[[#This Row],[CODIGO PDV]])</f>
        <v>424808</v>
      </c>
      <c r="I61" s="32" t="s">
        <v>167</v>
      </c>
      <c r="J61" s="2" t="s">
        <v>168</v>
      </c>
      <c r="K61" t="s">
        <v>96</v>
      </c>
      <c r="L61" t="s">
        <v>102</v>
      </c>
      <c r="M61" s="2" t="s">
        <v>75</v>
      </c>
      <c r="N61" t="s">
        <v>152</v>
      </c>
      <c r="O61" t="s">
        <v>88</v>
      </c>
      <c r="P61" s="2" t="s">
        <v>20</v>
      </c>
      <c r="Q61" t="s">
        <v>61</v>
      </c>
      <c r="R61" t="s">
        <v>61</v>
      </c>
      <c r="S61" s="79" t="s">
        <v>169</v>
      </c>
      <c r="T61" t="s">
        <v>170</v>
      </c>
      <c r="U61" t="s">
        <v>171</v>
      </c>
      <c r="V61" s="2" t="s">
        <v>172</v>
      </c>
      <c r="W61" s="2" t="s">
        <v>62</v>
      </c>
      <c r="Z61" s="2" t="s">
        <v>163</v>
      </c>
      <c r="AA61" s="2" t="s">
        <v>164</v>
      </c>
      <c r="AB61" s="2" t="s">
        <v>165</v>
      </c>
      <c r="AC61" s="2" t="s">
        <v>166</v>
      </c>
    </row>
    <row r="62" spans="1:29" x14ac:dyDescent="0.35">
      <c r="A62" t="s">
        <v>95</v>
      </c>
      <c r="B62" t="s">
        <v>99</v>
      </c>
      <c r="C62" t="s">
        <v>100</v>
      </c>
      <c r="D62" t="s">
        <v>14</v>
      </c>
      <c r="E62" t="s">
        <v>101</v>
      </c>
      <c r="F62" t="s">
        <v>101</v>
      </c>
      <c r="G62" s="2" t="s">
        <v>100</v>
      </c>
      <c r="H62">
        <f>VALUE(Tabla2[[#This Row],[CODIGO PDV]])</f>
        <v>424808</v>
      </c>
      <c r="I62" s="32" t="s">
        <v>167</v>
      </c>
      <c r="J62" s="2" t="s">
        <v>168</v>
      </c>
      <c r="K62" t="s">
        <v>96</v>
      </c>
      <c r="L62" t="s">
        <v>102</v>
      </c>
      <c r="M62" s="2" t="s">
        <v>75</v>
      </c>
      <c r="N62" t="s">
        <v>152</v>
      </c>
      <c r="O62" t="s">
        <v>89</v>
      </c>
      <c r="P62" s="2" t="s">
        <v>20</v>
      </c>
      <c r="Q62" t="s">
        <v>61</v>
      </c>
      <c r="R62" t="s">
        <v>61</v>
      </c>
      <c r="S62" s="79" t="s">
        <v>169</v>
      </c>
      <c r="T62" t="s">
        <v>170</v>
      </c>
      <c r="U62" t="s">
        <v>171</v>
      </c>
      <c r="V62" s="2" t="s">
        <v>172</v>
      </c>
      <c r="W62" s="2" t="s">
        <v>62</v>
      </c>
      <c r="Z62" s="2" t="s">
        <v>163</v>
      </c>
      <c r="AA62" s="2" t="s">
        <v>164</v>
      </c>
      <c r="AB62" s="2" t="s">
        <v>165</v>
      </c>
      <c r="AC62" s="2" t="s">
        <v>166</v>
      </c>
    </row>
    <row r="63" spans="1:29" x14ac:dyDescent="0.35">
      <c r="A63" t="s">
        <v>95</v>
      </c>
      <c r="B63" t="s">
        <v>99</v>
      </c>
      <c r="C63" t="s">
        <v>100</v>
      </c>
      <c r="D63" t="s">
        <v>14</v>
      </c>
      <c r="E63" t="s">
        <v>101</v>
      </c>
      <c r="F63" t="s">
        <v>101</v>
      </c>
      <c r="G63" s="2" t="s">
        <v>100</v>
      </c>
      <c r="H63">
        <f>VALUE(Tabla2[[#This Row],[CODIGO PDV]])</f>
        <v>424808</v>
      </c>
      <c r="I63" s="32" t="s">
        <v>167</v>
      </c>
      <c r="J63" s="2" t="s">
        <v>168</v>
      </c>
      <c r="K63" t="s">
        <v>96</v>
      </c>
      <c r="L63" t="s">
        <v>102</v>
      </c>
      <c r="M63" s="2" t="s">
        <v>75</v>
      </c>
      <c r="N63" t="s">
        <v>152</v>
      </c>
      <c r="O63" t="s">
        <v>90</v>
      </c>
      <c r="P63" s="2" t="s">
        <v>94</v>
      </c>
      <c r="Q63" t="s">
        <v>61</v>
      </c>
      <c r="R63" t="s">
        <v>61</v>
      </c>
      <c r="S63" s="79" t="s">
        <v>169</v>
      </c>
      <c r="T63" t="s">
        <v>170</v>
      </c>
      <c r="U63" t="s">
        <v>171</v>
      </c>
      <c r="V63" s="2" t="s">
        <v>172</v>
      </c>
      <c r="W63" s="2" t="s">
        <v>62</v>
      </c>
      <c r="Z63" s="2" t="s">
        <v>163</v>
      </c>
      <c r="AA63" s="2" t="s">
        <v>164</v>
      </c>
      <c r="AB63" s="2" t="s">
        <v>165</v>
      </c>
      <c r="AC63" s="2" t="s">
        <v>166</v>
      </c>
    </row>
    <row r="64" spans="1:29" x14ac:dyDescent="0.35">
      <c r="A64" t="s">
        <v>95</v>
      </c>
      <c r="B64" t="s">
        <v>99</v>
      </c>
      <c r="C64" t="s">
        <v>100</v>
      </c>
      <c r="D64" t="s">
        <v>14</v>
      </c>
      <c r="E64" t="s">
        <v>101</v>
      </c>
      <c r="F64" t="s">
        <v>101</v>
      </c>
      <c r="G64" s="2" t="s">
        <v>100</v>
      </c>
      <c r="H64">
        <f>VALUE(Tabla2[[#This Row],[CODIGO PDV]])</f>
        <v>424808</v>
      </c>
      <c r="I64" s="32" t="s">
        <v>167</v>
      </c>
      <c r="J64" s="2" t="s">
        <v>168</v>
      </c>
      <c r="K64" t="s">
        <v>96</v>
      </c>
      <c r="L64" t="s">
        <v>102</v>
      </c>
      <c r="M64" s="2" t="s">
        <v>75</v>
      </c>
      <c r="N64" t="s">
        <v>152</v>
      </c>
      <c r="O64" t="s">
        <v>91</v>
      </c>
      <c r="P64" s="2" t="s">
        <v>94</v>
      </c>
      <c r="Q64" t="s">
        <v>61</v>
      </c>
      <c r="R64" t="s">
        <v>61</v>
      </c>
      <c r="S64" s="79" t="s">
        <v>169</v>
      </c>
      <c r="T64" t="s">
        <v>170</v>
      </c>
      <c r="U64" t="s">
        <v>171</v>
      </c>
      <c r="V64" s="2" t="s">
        <v>172</v>
      </c>
      <c r="W64" s="2" t="s">
        <v>62</v>
      </c>
      <c r="Z64" s="2" t="s">
        <v>163</v>
      </c>
      <c r="AA64" s="2" t="s">
        <v>164</v>
      </c>
      <c r="AB64" s="2" t="s">
        <v>165</v>
      </c>
      <c r="AC64" s="2" t="s">
        <v>166</v>
      </c>
    </row>
    <row r="65" spans="1:29" x14ac:dyDescent="0.35">
      <c r="A65" t="s">
        <v>95</v>
      </c>
      <c r="B65" t="s">
        <v>99</v>
      </c>
      <c r="C65" t="s">
        <v>100</v>
      </c>
      <c r="D65" t="s">
        <v>14</v>
      </c>
      <c r="E65" t="s">
        <v>101</v>
      </c>
      <c r="F65" t="s">
        <v>101</v>
      </c>
      <c r="G65" s="2" t="s">
        <v>100</v>
      </c>
      <c r="H65">
        <f>VALUE(Tabla2[[#This Row],[CODIGO PDV]])</f>
        <v>424808</v>
      </c>
      <c r="I65" s="32" t="s">
        <v>167</v>
      </c>
      <c r="J65" s="2" t="s">
        <v>168</v>
      </c>
      <c r="K65" t="s">
        <v>96</v>
      </c>
      <c r="L65" t="s">
        <v>102</v>
      </c>
      <c r="M65" s="2" t="s">
        <v>75</v>
      </c>
      <c r="N65" t="s">
        <v>152</v>
      </c>
      <c r="O65" t="s">
        <v>92</v>
      </c>
      <c r="P65" s="2" t="s">
        <v>94</v>
      </c>
      <c r="Q65" t="s">
        <v>61</v>
      </c>
      <c r="R65" t="s">
        <v>61</v>
      </c>
      <c r="S65" s="79" t="s">
        <v>169</v>
      </c>
      <c r="T65" t="s">
        <v>170</v>
      </c>
      <c r="U65" t="s">
        <v>171</v>
      </c>
      <c r="V65" s="2" t="s">
        <v>172</v>
      </c>
      <c r="W65" s="2" t="s">
        <v>62</v>
      </c>
      <c r="Z65" s="2" t="s">
        <v>163</v>
      </c>
      <c r="AA65" s="2" t="s">
        <v>164</v>
      </c>
      <c r="AB65" s="2" t="s">
        <v>165</v>
      </c>
      <c r="AC65" s="2" t="s">
        <v>166</v>
      </c>
    </row>
    <row r="66" spans="1:29" x14ac:dyDescent="0.35">
      <c r="A66" t="s">
        <v>95</v>
      </c>
      <c r="B66" t="s">
        <v>99</v>
      </c>
      <c r="C66" t="s">
        <v>100</v>
      </c>
      <c r="D66" t="s">
        <v>14</v>
      </c>
      <c r="E66" t="s">
        <v>101</v>
      </c>
      <c r="F66" t="s">
        <v>101</v>
      </c>
      <c r="G66" s="2" t="s">
        <v>100</v>
      </c>
      <c r="H66">
        <f>VALUE(Tabla2[[#This Row],[CODIGO PDV]])</f>
        <v>424808</v>
      </c>
      <c r="I66" s="32" t="s">
        <v>167</v>
      </c>
      <c r="J66" s="2" t="s">
        <v>168</v>
      </c>
      <c r="K66" t="s">
        <v>96</v>
      </c>
      <c r="L66" t="s">
        <v>102</v>
      </c>
      <c r="M66" s="2" t="s">
        <v>75</v>
      </c>
      <c r="N66" t="s">
        <v>152</v>
      </c>
      <c r="O66" t="s">
        <v>93</v>
      </c>
      <c r="P66" s="2" t="s">
        <v>94</v>
      </c>
      <c r="Q66" t="s">
        <v>61</v>
      </c>
      <c r="R66" t="s">
        <v>61</v>
      </c>
      <c r="S66" s="79" t="s">
        <v>169</v>
      </c>
      <c r="T66" t="s">
        <v>170</v>
      </c>
      <c r="U66" t="s">
        <v>171</v>
      </c>
      <c r="V66" s="2" t="s">
        <v>172</v>
      </c>
      <c r="W66" s="2" t="s">
        <v>62</v>
      </c>
      <c r="Z66" s="2" t="s">
        <v>163</v>
      </c>
      <c r="AA66" s="2" t="s">
        <v>164</v>
      </c>
      <c r="AB66" s="2" t="s">
        <v>165</v>
      </c>
      <c r="AC66" s="2" t="s">
        <v>166</v>
      </c>
    </row>
    <row r="67" spans="1:29" x14ac:dyDescent="0.35">
      <c r="A67" t="s">
        <v>95</v>
      </c>
      <c r="B67" t="s">
        <v>99</v>
      </c>
      <c r="C67" t="s">
        <v>100</v>
      </c>
      <c r="D67" t="s">
        <v>14</v>
      </c>
      <c r="E67" t="s">
        <v>101</v>
      </c>
      <c r="F67" t="s">
        <v>101</v>
      </c>
      <c r="G67" s="2" t="s">
        <v>100</v>
      </c>
      <c r="H67">
        <f>VALUE(Tabla2[[#This Row],[CODIGO PDV]])</f>
        <v>424808</v>
      </c>
      <c r="I67" s="32" t="s">
        <v>167</v>
      </c>
      <c r="J67" s="2" t="s">
        <v>168</v>
      </c>
      <c r="K67" t="s">
        <v>96</v>
      </c>
      <c r="L67" t="s">
        <v>102</v>
      </c>
      <c r="M67" s="2" t="s">
        <v>75</v>
      </c>
      <c r="N67" t="s">
        <v>152</v>
      </c>
      <c r="O67" t="s">
        <v>129</v>
      </c>
      <c r="P67" s="2" t="s">
        <v>20</v>
      </c>
      <c r="Q67" t="s">
        <v>61</v>
      </c>
      <c r="R67" t="s">
        <v>61</v>
      </c>
      <c r="S67" s="79" t="s">
        <v>169</v>
      </c>
      <c r="T67" t="s">
        <v>170</v>
      </c>
      <c r="U67" t="s">
        <v>171</v>
      </c>
      <c r="V67" s="2" t="s">
        <v>172</v>
      </c>
      <c r="W67" s="2" t="s">
        <v>62</v>
      </c>
      <c r="Z67" s="2" t="s">
        <v>163</v>
      </c>
      <c r="AA67" s="2" t="s">
        <v>164</v>
      </c>
      <c r="AB67" s="2" t="s">
        <v>165</v>
      </c>
      <c r="AC67" s="2" t="s">
        <v>166</v>
      </c>
    </row>
    <row r="68" spans="1:29" x14ac:dyDescent="0.35">
      <c r="A68" t="s">
        <v>95</v>
      </c>
      <c r="B68" t="s">
        <v>99</v>
      </c>
      <c r="C68" t="s">
        <v>100</v>
      </c>
      <c r="D68" t="s">
        <v>14</v>
      </c>
      <c r="E68" t="s">
        <v>101</v>
      </c>
      <c r="F68" t="s">
        <v>101</v>
      </c>
      <c r="G68" s="2" t="s">
        <v>100</v>
      </c>
      <c r="H68">
        <f>VALUE(Tabla2[[#This Row],[CODIGO PDV]])</f>
        <v>424808</v>
      </c>
      <c r="I68" s="32" t="s">
        <v>167</v>
      </c>
      <c r="J68" s="2" t="s">
        <v>168</v>
      </c>
      <c r="K68" t="s">
        <v>96</v>
      </c>
      <c r="L68" t="s">
        <v>102</v>
      </c>
      <c r="M68" s="2" t="s">
        <v>75</v>
      </c>
      <c r="N68" t="s">
        <v>152</v>
      </c>
      <c r="O68" t="s">
        <v>121</v>
      </c>
      <c r="P68" s="2" t="s">
        <v>20</v>
      </c>
      <c r="Q68" t="s">
        <v>61</v>
      </c>
      <c r="R68" t="s">
        <v>61</v>
      </c>
      <c r="S68" s="79" t="s">
        <v>169</v>
      </c>
      <c r="T68" t="s">
        <v>170</v>
      </c>
      <c r="U68" t="s">
        <v>171</v>
      </c>
      <c r="V68" s="2" t="s">
        <v>172</v>
      </c>
      <c r="W68" s="2" t="s">
        <v>62</v>
      </c>
      <c r="Z68" s="2" t="s">
        <v>163</v>
      </c>
      <c r="AA68" s="2" t="s">
        <v>164</v>
      </c>
      <c r="AB68" s="2" t="s">
        <v>165</v>
      </c>
      <c r="AC68" s="2" t="s">
        <v>166</v>
      </c>
    </row>
    <row r="69" spans="1:29" x14ac:dyDescent="0.35">
      <c r="A69" t="s">
        <v>95</v>
      </c>
      <c r="B69" t="s">
        <v>99</v>
      </c>
      <c r="C69" t="s">
        <v>100</v>
      </c>
      <c r="D69" t="s">
        <v>14</v>
      </c>
      <c r="E69" t="s">
        <v>101</v>
      </c>
      <c r="F69" t="s">
        <v>101</v>
      </c>
      <c r="G69" s="2" t="s">
        <v>100</v>
      </c>
      <c r="H69">
        <f>VALUE(Tabla2[[#This Row],[CODIGO PDV]])</f>
        <v>424808</v>
      </c>
      <c r="I69" s="32" t="s">
        <v>167</v>
      </c>
      <c r="J69" s="2" t="s">
        <v>168</v>
      </c>
      <c r="K69" t="s">
        <v>96</v>
      </c>
      <c r="L69" t="s">
        <v>102</v>
      </c>
      <c r="M69" s="2" t="s">
        <v>75</v>
      </c>
      <c r="N69" t="s">
        <v>152</v>
      </c>
      <c r="O69" t="s">
        <v>131</v>
      </c>
      <c r="P69" s="2" t="s">
        <v>20</v>
      </c>
      <c r="Q69" t="s">
        <v>61</v>
      </c>
      <c r="R69" t="s">
        <v>61</v>
      </c>
      <c r="S69" s="79" t="s">
        <v>169</v>
      </c>
      <c r="T69" t="s">
        <v>170</v>
      </c>
      <c r="U69" t="s">
        <v>171</v>
      </c>
      <c r="V69" s="2" t="s">
        <v>172</v>
      </c>
      <c r="W69" s="2" t="s">
        <v>62</v>
      </c>
      <c r="Z69" s="2" t="s">
        <v>163</v>
      </c>
      <c r="AA69" s="2" t="s">
        <v>164</v>
      </c>
      <c r="AB69" s="2" t="s">
        <v>165</v>
      </c>
      <c r="AC69" s="2" t="s">
        <v>166</v>
      </c>
    </row>
    <row r="70" spans="1:29" x14ac:dyDescent="0.35">
      <c r="A70" t="s">
        <v>95</v>
      </c>
      <c r="B70" t="s">
        <v>99</v>
      </c>
      <c r="C70" t="s">
        <v>100</v>
      </c>
      <c r="D70" t="s">
        <v>14</v>
      </c>
      <c r="E70" t="s">
        <v>101</v>
      </c>
      <c r="F70" t="s">
        <v>101</v>
      </c>
      <c r="G70" s="2" t="s">
        <v>100</v>
      </c>
      <c r="H70">
        <f>VALUE(Tabla2[[#This Row],[CODIGO PDV]])</f>
        <v>424808</v>
      </c>
      <c r="I70" s="32" t="s">
        <v>167</v>
      </c>
      <c r="J70" s="2" t="s">
        <v>168</v>
      </c>
      <c r="K70" t="s">
        <v>96</v>
      </c>
      <c r="L70" t="s">
        <v>102</v>
      </c>
      <c r="M70" s="2" t="s">
        <v>75</v>
      </c>
      <c r="N70" t="s">
        <v>152</v>
      </c>
      <c r="O70" t="s">
        <v>112</v>
      </c>
      <c r="P70" s="2" t="s">
        <v>14</v>
      </c>
      <c r="Q70" t="s">
        <v>61</v>
      </c>
      <c r="R70" t="s">
        <v>61</v>
      </c>
      <c r="S70" s="79" t="s">
        <v>169</v>
      </c>
      <c r="T70" t="s">
        <v>170</v>
      </c>
      <c r="U70" t="s">
        <v>171</v>
      </c>
      <c r="V70" s="2" t="s">
        <v>172</v>
      </c>
      <c r="W70" s="2" t="s">
        <v>62</v>
      </c>
      <c r="Z70" s="2" t="s">
        <v>163</v>
      </c>
      <c r="AA70" s="2" t="s">
        <v>164</v>
      </c>
      <c r="AB70" s="2" t="s">
        <v>165</v>
      </c>
      <c r="AC70" s="2" t="s">
        <v>166</v>
      </c>
    </row>
    <row r="71" spans="1:29" x14ac:dyDescent="0.35">
      <c r="A71" t="s">
        <v>95</v>
      </c>
      <c r="B71" t="s">
        <v>99</v>
      </c>
      <c r="C71" t="s">
        <v>100</v>
      </c>
      <c r="D71" t="s">
        <v>14</v>
      </c>
      <c r="E71" t="s">
        <v>101</v>
      </c>
      <c r="F71" t="s">
        <v>101</v>
      </c>
      <c r="G71" s="2" t="s">
        <v>100</v>
      </c>
      <c r="H71">
        <f>VALUE(Tabla2[[#This Row],[CODIGO PDV]])</f>
        <v>424808</v>
      </c>
      <c r="I71" s="32" t="s">
        <v>167</v>
      </c>
      <c r="J71" s="2" t="s">
        <v>168</v>
      </c>
      <c r="K71" t="s">
        <v>96</v>
      </c>
      <c r="L71" t="s">
        <v>102</v>
      </c>
      <c r="M71" s="2" t="s">
        <v>75</v>
      </c>
      <c r="N71" t="s">
        <v>152</v>
      </c>
      <c r="O71" t="s">
        <v>136</v>
      </c>
      <c r="P71" s="2" t="s">
        <v>20</v>
      </c>
      <c r="Q71" t="s">
        <v>61</v>
      </c>
      <c r="R71" t="s">
        <v>61</v>
      </c>
      <c r="S71" s="79" t="s">
        <v>169</v>
      </c>
      <c r="T71" t="s">
        <v>170</v>
      </c>
      <c r="U71" t="s">
        <v>171</v>
      </c>
      <c r="V71" s="2" t="s">
        <v>172</v>
      </c>
      <c r="W71" s="2" t="s">
        <v>62</v>
      </c>
      <c r="Z71" s="2" t="s">
        <v>163</v>
      </c>
      <c r="AA71" s="2" t="s">
        <v>164</v>
      </c>
      <c r="AB71" s="2" t="s">
        <v>165</v>
      </c>
      <c r="AC71" s="2" t="s">
        <v>166</v>
      </c>
    </row>
    <row r="72" spans="1:29" x14ac:dyDescent="0.35">
      <c r="A72" t="s">
        <v>95</v>
      </c>
      <c r="B72" t="s">
        <v>99</v>
      </c>
      <c r="C72" t="s">
        <v>100</v>
      </c>
      <c r="D72" t="s">
        <v>14</v>
      </c>
      <c r="E72" t="s">
        <v>101</v>
      </c>
      <c r="F72" t="s">
        <v>101</v>
      </c>
      <c r="G72" s="2" t="s">
        <v>100</v>
      </c>
      <c r="H72">
        <f>VALUE(Tabla2[[#This Row],[CODIGO PDV]])</f>
        <v>424808</v>
      </c>
      <c r="I72" s="32" t="s">
        <v>167</v>
      </c>
      <c r="J72" s="2" t="s">
        <v>168</v>
      </c>
      <c r="K72" t="s">
        <v>96</v>
      </c>
      <c r="L72" t="s">
        <v>102</v>
      </c>
      <c r="M72" s="2" t="s">
        <v>75</v>
      </c>
      <c r="N72" t="s">
        <v>152</v>
      </c>
      <c r="O72" t="s">
        <v>137</v>
      </c>
      <c r="P72" s="2" t="s">
        <v>20</v>
      </c>
      <c r="Q72" t="s">
        <v>61</v>
      </c>
      <c r="R72" t="s">
        <v>61</v>
      </c>
      <c r="S72" s="79" t="s">
        <v>169</v>
      </c>
      <c r="T72" t="s">
        <v>170</v>
      </c>
      <c r="U72" t="s">
        <v>171</v>
      </c>
      <c r="V72" s="2" t="s">
        <v>172</v>
      </c>
      <c r="W72" s="2" t="s">
        <v>62</v>
      </c>
      <c r="Z72" s="2" t="s">
        <v>163</v>
      </c>
      <c r="AA72" s="2" t="s">
        <v>164</v>
      </c>
      <c r="AB72" s="2" t="s">
        <v>165</v>
      </c>
      <c r="AC72" s="2" t="s">
        <v>166</v>
      </c>
    </row>
    <row r="73" spans="1:29" x14ac:dyDescent="0.35">
      <c r="A73" t="s">
        <v>95</v>
      </c>
      <c r="B73" t="s">
        <v>99</v>
      </c>
      <c r="C73" t="s">
        <v>100</v>
      </c>
      <c r="D73" t="s">
        <v>14</v>
      </c>
      <c r="E73" t="s">
        <v>101</v>
      </c>
      <c r="F73" t="s">
        <v>101</v>
      </c>
      <c r="G73" s="2" t="s">
        <v>100</v>
      </c>
      <c r="H73">
        <f>VALUE(Tabla2[[#This Row],[CODIGO PDV]])</f>
        <v>424808</v>
      </c>
      <c r="I73" s="32" t="s">
        <v>167</v>
      </c>
      <c r="J73" s="2" t="s">
        <v>168</v>
      </c>
      <c r="K73" t="s">
        <v>96</v>
      </c>
      <c r="L73" t="s">
        <v>102</v>
      </c>
      <c r="M73" s="2" t="s">
        <v>75</v>
      </c>
      <c r="N73" t="s">
        <v>152</v>
      </c>
      <c r="O73" t="s">
        <v>138</v>
      </c>
      <c r="P73" s="2" t="s">
        <v>20</v>
      </c>
      <c r="Q73" t="s">
        <v>61</v>
      </c>
      <c r="R73" t="s">
        <v>61</v>
      </c>
      <c r="S73" s="79" t="s">
        <v>169</v>
      </c>
      <c r="T73" t="s">
        <v>170</v>
      </c>
      <c r="U73" t="s">
        <v>171</v>
      </c>
      <c r="V73" s="2" t="s">
        <v>172</v>
      </c>
      <c r="W73" s="2" t="s">
        <v>62</v>
      </c>
      <c r="Z73" s="2" t="s">
        <v>163</v>
      </c>
      <c r="AA73" s="2" t="s">
        <v>164</v>
      </c>
      <c r="AB73" s="2" t="s">
        <v>165</v>
      </c>
      <c r="AC73" s="2" t="s">
        <v>166</v>
      </c>
    </row>
    <row r="74" spans="1:29" x14ac:dyDescent="0.35">
      <c r="A74" t="s">
        <v>95</v>
      </c>
      <c r="B74" t="s">
        <v>99</v>
      </c>
      <c r="C74" t="s">
        <v>100</v>
      </c>
      <c r="D74" t="s">
        <v>14</v>
      </c>
      <c r="E74" t="s">
        <v>101</v>
      </c>
      <c r="F74" t="s">
        <v>101</v>
      </c>
      <c r="G74" s="2" t="s">
        <v>100</v>
      </c>
      <c r="H74">
        <f>VALUE(Tabla2[[#This Row],[CODIGO PDV]])</f>
        <v>424808</v>
      </c>
      <c r="I74" s="32" t="s">
        <v>167</v>
      </c>
      <c r="J74" s="2" t="s">
        <v>168</v>
      </c>
      <c r="K74" t="s">
        <v>96</v>
      </c>
      <c r="L74" t="s">
        <v>102</v>
      </c>
      <c r="M74" s="2" t="s">
        <v>75</v>
      </c>
      <c r="N74" t="s">
        <v>152</v>
      </c>
      <c r="O74" t="s">
        <v>139</v>
      </c>
      <c r="P74" s="2" t="s">
        <v>20</v>
      </c>
      <c r="Q74" t="s">
        <v>61</v>
      </c>
      <c r="R74" t="s">
        <v>61</v>
      </c>
      <c r="S74" s="79" t="s">
        <v>169</v>
      </c>
      <c r="T74" t="s">
        <v>170</v>
      </c>
      <c r="U74" t="s">
        <v>171</v>
      </c>
      <c r="V74" s="2" t="s">
        <v>172</v>
      </c>
      <c r="W74" s="2" t="s">
        <v>62</v>
      </c>
      <c r="Z74" s="2" t="s">
        <v>163</v>
      </c>
      <c r="AA74" s="2" t="s">
        <v>164</v>
      </c>
      <c r="AB74" s="2" t="s">
        <v>165</v>
      </c>
      <c r="AC74" s="2" t="s">
        <v>166</v>
      </c>
    </row>
    <row r="75" spans="1:29" x14ac:dyDescent="0.35">
      <c r="A75" t="s">
        <v>95</v>
      </c>
      <c r="B75" t="s">
        <v>99</v>
      </c>
      <c r="C75" t="s">
        <v>100</v>
      </c>
      <c r="D75" t="s">
        <v>14</v>
      </c>
      <c r="E75" t="s">
        <v>101</v>
      </c>
      <c r="F75" t="s">
        <v>101</v>
      </c>
      <c r="G75" s="2" t="s">
        <v>100</v>
      </c>
      <c r="H75">
        <f>VALUE(Tabla2[[#This Row],[CODIGO PDV]])</f>
        <v>424808</v>
      </c>
      <c r="I75" s="32" t="s">
        <v>167</v>
      </c>
      <c r="J75" s="2" t="s">
        <v>168</v>
      </c>
      <c r="K75" t="s">
        <v>96</v>
      </c>
      <c r="L75" t="s">
        <v>102</v>
      </c>
      <c r="M75" s="2" t="s">
        <v>75</v>
      </c>
      <c r="N75" t="s">
        <v>152</v>
      </c>
      <c r="O75" t="s">
        <v>140</v>
      </c>
      <c r="P75" s="2" t="s">
        <v>20</v>
      </c>
      <c r="Q75" t="s">
        <v>61</v>
      </c>
      <c r="R75" t="s">
        <v>61</v>
      </c>
      <c r="S75" s="79" t="s">
        <v>169</v>
      </c>
      <c r="T75" t="s">
        <v>170</v>
      </c>
      <c r="U75" t="s">
        <v>171</v>
      </c>
      <c r="V75" s="2" t="s">
        <v>172</v>
      </c>
      <c r="W75" s="2" t="s">
        <v>62</v>
      </c>
      <c r="Z75" s="2" t="s">
        <v>163</v>
      </c>
      <c r="AA75" s="2" t="s">
        <v>164</v>
      </c>
      <c r="AB75" s="2" t="s">
        <v>165</v>
      </c>
      <c r="AC75" s="2" t="s">
        <v>166</v>
      </c>
    </row>
    <row r="76" spans="1:29" x14ac:dyDescent="0.35">
      <c r="A76" t="s">
        <v>95</v>
      </c>
      <c r="B76" t="s">
        <v>99</v>
      </c>
      <c r="C76" t="s">
        <v>100</v>
      </c>
      <c r="D76" t="s">
        <v>14</v>
      </c>
      <c r="E76" t="s">
        <v>101</v>
      </c>
      <c r="F76" t="s">
        <v>101</v>
      </c>
      <c r="G76" s="2" t="s">
        <v>100</v>
      </c>
      <c r="H76">
        <f>VALUE(Tabla2[[#This Row],[CODIGO PDV]])</f>
        <v>424808</v>
      </c>
      <c r="I76" s="32" t="s">
        <v>167</v>
      </c>
      <c r="J76" s="2" t="s">
        <v>168</v>
      </c>
      <c r="K76" t="s">
        <v>96</v>
      </c>
      <c r="L76" t="s">
        <v>102</v>
      </c>
      <c r="M76" s="2" t="s">
        <v>75</v>
      </c>
      <c r="N76" t="s">
        <v>152</v>
      </c>
      <c r="O76" t="s">
        <v>141</v>
      </c>
      <c r="P76" s="2" t="s">
        <v>20</v>
      </c>
      <c r="Q76" t="s">
        <v>61</v>
      </c>
      <c r="R76" t="s">
        <v>61</v>
      </c>
      <c r="S76" s="79" t="s">
        <v>169</v>
      </c>
      <c r="T76" t="s">
        <v>170</v>
      </c>
      <c r="U76" t="s">
        <v>171</v>
      </c>
      <c r="V76" s="2" t="s">
        <v>172</v>
      </c>
      <c r="W76" s="2" t="s">
        <v>62</v>
      </c>
      <c r="Z76" s="2" t="s">
        <v>163</v>
      </c>
      <c r="AA76" s="2" t="s">
        <v>164</v>
      </c>
      <c r="AB76" s="2" t="s">
        <v>165</v>
      </c>
      <c r="AC76" s="2" t="s">
        <v>166</v>
      </c>
    </row>
    <row r="77" spans="1:29" x14ac:dyDescent="0.35">
      <c r="A77" t="s">
        <v>95</v>
      </c>
      <c r="B77" t="s">
        <v>99</v>
      </c>
      <c r="C77" t="s">
        <v>100</v>
      </c>
      <c r="D77" t="s">
        <v>14</v>
      </c>
      <c r="E77" t="s">
        <v>101</v>
      </c>
      <c r="F77" t="s">
        <v>101</v>
      </c>
      <c r="G77" s="2" t="s">
        <v>100</v>
      </c>
      <c r="H77">
        <f>VALUE(Tabla2[[#This Row],[CODIGO PDV]])</f>
        <v>424808</v>
      </c>
      <c r="I77" s="32" t="s">
        <v>167</v>
      </c>
      <c r="J77" s="2" t="s">
        <v>168</v>
      </c>
      <c r="K77" t="s">
        <v>96</v>
      </c>
      <c r="L77" t="s">
        <v>102</v>
      </c>
      <c r="M77" s="2" t="s">
        <v>75</v>
      </c>
      <c r="N77" t="s">
        <v>152</v>
      </c>
      <c r="O77" t="s">
        <v>113</v>
      </c>
      <c r="P77" s="2" t="s">
        <v>119</v>
      </c>
      <c r="Q77" t="s">
        <v>61</v>
      </c>
      <c r="R77" t="s">
        <v>61</v>
      </c>
      <c r="S77" s="79" t="s">
        <v>169</v>
      </c>
      <c r="T77" t="s">
        <v>170</v>
      </c>
      <c r="U77" t="s">
        <v>171</v>
      </c>
      <c r="V77" s="2" t="s">
        <v>172</v>
      </c>
      <c r="W77" s="2" t="s">
        <v>62</v>
      </c>
      <c r="Z77" s="2" t="s">
        <v>163</v>
      </c>
      <c r="AA77" s="2" t="s">
        <v>164</v>
      </c>
      <c r="AB77" s="2" t="s">
        <v>165</v>
      </c>
      <c r="AC77" s="2" t="s">
        <v>166</v>
      </c>
    </row>
    <row r="78" spans="1:29" x14ac:dyDescent="0.35">
      <c r="A78" t="s">
        <v>95</v>
      </c>
      <c r="B78" t="s">
        <v>99</v>
      </c>
      <c r="C78" t="s">
        <v>100</v>
      </c>
      <c r="D78" t="s">
        <v>14</v>
      </c>
      <c r="E78" t="s">
        <v>101</v>
      </c>
      <c r="F78" t="s">
        <v>101</v>
      </c>
      <c r="G78" s="2" t="s">
        <v>100</v>
      </c>
      <c r="H78">
        <f>VALUE(Tabla2[[#This Row],[CODIGO PDV]])</f>
        <v>424808</v>
      </c>
      <c r="I78" s="32" t="s">
        <v>167</v>
      </c>
      <c r="J78" s="2" t="s">
        <v>168</v>
      </c>
      <c r="K78" t="s">
        <v>96</v>
      </c>
      <c r="L78" t="s">
        <v>102</v>
      </c>
      <c r="M78" s="2" t="s">
        <v>75</v>
      </c>
      <c r="N78" t="s">
        <v>152</v>
      </c>
      <c r="O78" t="s">
        <v>114</v>
      </c>
      <c r="P78" s="2" t="s">
        <v>20</v>
      </c>
      <c r="Q78" t="s">
        <v>61</v>
      </c>
      <c r="R78" t="s">
        <v>61</v>
      </c>
      <c r="S78" s="79" t="s">
        <v>169</v>
      </c>
      <c r="T78" t="s">
        <v>170</v>
      </c>
      <c r="U78" t="s">
        <v>171</v>
      </c>
      <c r="V78" s="2" t="s">
        <v>172</v>
      </c>
      <c r="W78" s="2" t="s">
        <v>62</v>
      </c>
      <c r="Z78" s="2" t="s">
        <v>163</v>
      </c>
      <c r="AA78" s="2" t="s">
        <v>164</v>
      </c>
      <c r="AB78" s="2" t="s">
        <v>165</v>
      </c>
      <c r="AC78" s="2" t="s">
        <v>166</v>
      </c>
    </row>
    <row r="79" spans="1:29" x14ac:dyDescent="0.35">
      <c r="A79" t="s">
        <v>95</v>
      </c>
      <c r="B79" t="s">
        <v>99</v>
      </c>
      <c r="C79" t="s">
        <v>100</v>
      </c>
      <c r="D79" t="s">
        <v>14</v>
      </c>
      <c r="E79" t="s">
        <v>101</v>
      </c>
      <c r="F79" t="s">
        <v>101</v>
      </c>
      <c r="G79" s="2" t="s">
        <v>100</v>
      </c>
      <c r="H79">
        <f>VALUE(Tabla2[[#This Row],[CODIGO PDV]])</f>
        <v>424808</v>
      </c>
      <c r="I79" s="32" t="s">
        <v>167</v>
      </c>
      <c r="J79" s="2" t="s">
        <v>168</v>
      </c>
      <c r="K79" t="s">
        <v>96</v>
      </c>
      <c r="L79" t="s">
        <v>102</v>
      </c>
      <c r="M79" s="2" t="s">
        <v>75</v>
      </c>
      <c r="N79" t="s">
        <v>152</v>
      </c>
      <c r="O79" t="s">
        <v>128</v>
      </c>
      <c r="P79" s="2" t="s">
        <v>20</v>
      </c>
      <c r="Q79" t="s">
        <v>61</v>
      </c>
      <c r="R79" t="s">
        <v>61</v>
      </c>
      <c r="S79" s="79" t="s">
        <v>169</v>
      </c>
      <c r="T79" t="s">
        <v>170</v>
      </c>
      <c r="U79" t="s">
        <v>171</v>
      </c>
      <c r="V79" s="2" t="s">
        <v>172</v>
      </c>
      <c r="W79" s="2" t="s">
        <v>62</v>
      </c>
      <c r="Z79" s="2" t="s">
        <v>163</v>
      </c>
      <c r="AA79" s="2" t="s">
        <v>164</v>
      </c>
      <c r="AB79" s="2" t="s">
        <v>165</v>
      </c>
      <c r="AC79" s="2" t="s">
        <v>166</v>
      </c>
    </row>
    <row r="80" spans="1:29" x14ac:dyDescent="0.35">
      <c r="A80" t="s">
        <v>95</v>
      </c>
      <c r="B80" t="s">
        <v>99</v>
      </c>
      <c r="C80" t="s">
        <v>100</v>
      </c>
      <c r="D80" t="s">
        <v>14</v>
      </c>
      <c r="E80" t="s">
        <v>101</v>
      </c>
      <c r="F80" t="s">
        <v>101</v>
      </c>
      <c r="G80" s="2" t="s">
        <v>100</v>
      </c>
      <c r="H80">
        <f>VALUE(Tabla2[[#This Row],[CODIGO PDV]])</f>
        <v>424808</v>
      </c>
      <c r="I80" s="32" t="s">
        <v>167</v>
      </c>
      <c r="J80" s="2" t="s">
        <v>168</v>
      </c>
      <c r="K80" t="s">
        <v>96</v>
      </c>
      <c r="L80" t="s">
        <v>102</v>
      </c>
      <c r="M80" s="2" t="s">
        <v>75</v>
      </c>
      <c r="N80" t="s">
        <v>152</v>
      </c>
      <c r="O80" t="s">
        <v>115</v>
      </c>
      <c r="P80" s="2" t="s">
        <v>20</v>
      </c>
      <c r="Q80" t="s">
        <v>61</v>
      </c>
      <c r="R80" t="s">
        <v>61</v>
      </c>
      <c r="S80" s="79" t="s">
        <v>169</v>
      </c>
      <c r="T80" t="s">
        <v>170</v>
      </c>
      <c r="U80" t="s">
        <v>171</v>
      </c>
      <c r="V80" s="2" t="s">
        <v>172</v>
      </c>
      <c r="W80" s="2" t="s">
        <v>62</v>
      </c>
      <c r="Z80" s="2" t="s">
        <v>163</v>
      </c>
      <c r="AA80" s="2" t="s">
        <v>164</v>
      </c>
      <c r="AB80" s="2" t="s">
        <v>165</v>
      </c>
      <c r="AC80" s="2" t="s">
        <v>166</v>
      </c>
    </row>
    <row r="81" spans="1:29" x14ac:dyDescent="0.35">
      <c r="A81" t="s">
        <v>95</v>
      </c>
      <c r="B81" t="s">
        <v>99</v>
      </c>
      <c r="C81" t="s">
        <v>100</v>
      </c>
      <c r="D81" t="s">
        <v>14</v>
      </c>
      <c r="E81" t="s">
        <v>101</v>
      </c>
      <c r="F81" t="s">
        <v>101</v>
      </c>
      <c r="G81" s="2" t="s">
        <v>100</v>
      </c>
      <c r="H81">
        <f>VALUE(Tabla2[[#This Row],[CODIGO PDV]])</f>
        <v>424808</v>
      </c>
      <c r="I81" s="32" t="s">
        <v>167</v>
      </c>
      <c r="J81" s="2" t="s">
        <v>168</v>
      </c>
      <c r="K81" t="s">
        <v>96</v>
      </c>
      <c r="L81" t="s">
        <v>102</v>
      </c>
      <c r="M81" s="2" t="s">
        <v>75</v>
      </c>
      <c r="N81" t="s">
        <v>152</v>
      </c>
      <c r="O81" t="s">
        <v>116</v>
      </c>
      <c r="P81" s="2" t="s">
        <v>20</v>
      </c>
      <c r="Q81" t="s">
        <v>61</v>
      </c>
      <c r="R81" t="s">
        <v>61</v>
      </c>
      <c r="S81" s="79" t="s">
        <v>169</v>
      </c>
      <c r="T81" t="s">
        <v>170</v>
      </c>
      <c r="U81" t="s">
        <v>171</v>
      </c>
      <c r="V81" s="2" t="s">
        <v>172</v>
      </c>
      <c r="W81" s="2" t="s">
        <v>62</v>
      </c>
      <c r="Z81" s="2" t="s">
        <v>163</v>
      </c>
      <c r="AA81" s="2" t="s">
        <v>164</v>
      </c>
      <c r="AB81" s="2" t="s">
        <v>165</v>
      </c>
      <c r="AC81" s="2" t="s">
        <v>166</v>
      </c>
    </row>
    <row r="82" spans="1:29" x14ac:dyDescent="0.35">
      <c r="A82" t="s">
        <v>95</v>
      </c>
      <c r="B82" t="s">
        <v>99</v>
      </c>
      <c r="C82" t="s">
        <v>100</v>
      </c>
      <c r="D82" t="s">
        <v>14</v>
      </c>
      <c r="E82" t="s">
        <v>101</v>
      </c>
      <c r="F82" t="s">
        <v>101</v>
      </c>
      <c r="G82" s="2" t="s">
        <v>100</v>
      </c>
      <c r="H82">
        <f>VALUE(Tabla2[[#This Row],[CODIGO PDV]])</f>
        <v>424808</v>
      </c>
      <c r="I82" s="32" t="s">
        <v>167</v>
      </c>
      <c r="J82" s="2" t="s">
        <v>168</v>
      </c>
      <c r="K82" t="s">
        <v>96</v>
      </c>
      <c r="L82" t="s">
        <v>102</v>
      </c>
      <c r="M82" s="2" t="s">
        <v>75</v>
      </c>
      <c r="N82" t="s">
        <v>152</v>
      </c>
      <c r="O82" t="s">
        <v>117</v>
      </c>
      <c r="P82" s="2" t="s">
        <v>94</v>
      </c>
      <c r="Q82" t="s">
        <v>61</v>
      </c>
      <c r="R82" t="s">
        <v>61</v>
      </c>
      <c r="S82" s="79" t="s">
        <v>169</v>
      </c>
      <c r="T82" t="s">
        <v>170</v>
      </c>
      <c r="U82" t="s">
        <v>171</v>
      </c>
      <c r="V82" s="2" t="s">
        <v>172</v>
      </c>
      <c r="W82" s="2" t="s">
        <v>62</v>
      </c>
      <c r="Z82" s="2" t="s">
        <v>163</v>
      </c>
      <c r="AA82" s="2" t="s">
        <v>164</v>
      </c>
      <c r="AB82" s="2" t="s">
        <v>165</v>
      </c>
      <c r="AC82" s="2" t="s">
        <v>166</v>
      </c>
    </row>
    <row r="83" spans="1:29" x14ac:dyDescent="0.35">
      <c r="A83" t="s">
        <v>95</v>
      </c>
      <c r="B83" t="s">
        <v>83</v>
      </c>
      <c r="C83" t="s">
        <v>173</v>
      </c>
      <c r="D83" t="s">
        <v>15</v>
      </c>
      <c r="E83" t="s">
        <v>85</v>
      </c>
      <c r="F83" t="s">
        <v>85</v>
      </c>
      <c r="G83" s="2" t="s">
        <v>83</v>
      </c>
      <c r="H83">
        <f>VALUE(Tabla2[[#This Row],[CODIGO PDV]])</f>
        <v>424810</v>
      </c>
      <c r="I83" s="32" t="s">
        <v>174</v>
      </c>
      <c r="J83" s="2" t="s">
        <v>175</v>
      </c>
      <c r="K83" t="s">
        <v>176</v>
      </c>
      <c r="L83" t="s">
        <v>130</v>
      </c>
      <c r="M83" s="2" t="s">
        <v>75</v>
      </c>
      <c r="N83" t="s">
        <v>152</v>
      </c>
      <c r="O83" t="s">
        <v>109</v>
      </c>
      <c r="P83" s="2" t="s">
        <v>20</v>
      </c>
      <c r="Q83" t="s">
        <v>61</v>
      </c>
      <c r="R83" t="s">
        <v>61</v>
      </c>
      <c r="S83" s="79" t="s">
        <v>177</v>
      </c>
      <c r="T83" t="s">
        <v>178</v>
      </c>
      <c r="U83" t="s">
        <v>179</v>
      </c>
      <c r="V83" s="2" t="s">
        <v>180</v>
      </c>
      <c r="W83" s="2" t="s">
        <v>62</v>
      </c>
      <c r="Z83" s="2" t="s">
        <v>103</v>
      </c>
      <c r="AA83" s="2" t="s">
        <v>104</v>
      </c>
      <c r="AB83" s="2" t="s">
        <v>63</v>
      </c>
      <c r="AC83" s="2" t="s">
        <v>64</v>
      </c>
    </row>
    <row r="84" spans="1:29" x14ac:dyDescent="0.35">
      <c r="A84" t="s">
        <v>95</v>
      </c>
      <c r="B84" t="s">
        <v>83</v>
      </c>
      <c r="C84" t="s">
        <v>173</v>
      </c>
      <c r="D84" t="s">
        <v>15</v>
      </c>
      <c r="E84" t="s">
        <v>85</v>
      </c>
      <c r="F84" t="s">
        <v>85</v>
      </c>
      <c r="G84" s="2" t="s">
        <v>83</v>
      </c>
      <c r="H84">
        <f>VALUE(Tabla2[[#This Row],[CODIGO PDV]])</f>
        <v>424810</v>
      </c>
      <c r="I84" s="32" t="s">
        <v>174</v>
      </c>
      <c r="J84" s="2" t="s">
        <v>175</v>
      </c>
      <c r="K84" t="s">
        <v>176</v>
      </c>
      <c r="L84" t="s">
        <v>130</v>
      </c>
      <c r="M84" s="2" t="s">
        <v>75</v>
      </c>
      <c r="N84" t="s">
        <v>152</v>
      </c>
      <c r="O84" t="s">
        <v>86</v>
      </c>
      <c r="P84" s="2" t="s">
        <v>20</v>
      </c>
      <c r="Q84" t="s">
        <v>61</v>
      </c>
      <c r="R84" t="s">
        <v>61</v>
      </c>
      <c r="S84" s="79" t="s">
        <v>177</v>
      </c>
      <c r="T84" t="s">
        <v>178</v>
      </c>
      <c r="U84" t="s">
        <v>179</v>
      </c>
      <c r="V84" s="2" t="s">
        <v>180</v>
      </c>
      <c r="W84" s="2" t="s">
        <v>62</v>
      </c>
      <c r="Z84" s="2" t="s">
        <v>103</v>
      </c>
      <c r="AA84" s="2" t="s">
        <v>104</v>
      </c>
      <c r="AB84" s="2" t="s">
        <v>63</v>
      </c>
      <c r="AC84" s="2" t="s">
        <v>64</v>
      </c>
    </row>
    <row r="85" spans="1:29" x14ac:dyDescent="0.35">
      <c r="A85" t="s">
        <v>95</v>
      </c>
      <c r="B85" t="s">
        <v>83</v>
      </c>
      <c r="C85" t="s">
        <v>173</v>
      </c>
      <c r="D85" t="s">
        <v>15</v>
      </c>
      <c r="E85" t="s">
        <v>85</v>
      </c>
      <c r="F85" t="s">
        <v>85</v>
      </c>
      <c r="G85" s="2" t="s">
        <v>83</v>
      </c>
      <c r="H85">
        <f>VALUE(Tabla2[[#This Row],[CODIGO PDV]])</f>
        <v>424810</v>
      </c>
      <c r="I85" s="32" t="s">
        <v>174</v>
      </c>
      <c r="J85" s="2" t="s">
        <v>175</v>
      </c>
      <c r="K85" t="s">
        <v>176</v>
      </c>
      <c r="L85" t="s">
        <v>130</v>
      </c>
      <c r="M85" s="2" t="s">
        <v>75</v>
      </c>
      <c r="N85" t="s">
        <v>152</v>
      </c>
      <c r="O85" t="s">
        <v>87</v>
      </c>
      <c r="P85" s="2" t="s">
        <v>20</v>
      </c>
      <c r="Q85" t="s">
        <v>61</v>
      </c>
      <c r="R85" t="s">
        <v>61</v>
      </c>
      <c r="S85" s="79" t="s">
        <v>177</v>
      </c>
      <c r="T85" t="s">
        <v>178</v>
      </c>
      <c r="U85" t="s">
        <v>179</v>
      </c>
      <c r="V85" s="2" t="s">
        <v>180</v>
      </c>
      <c r="W85" s="2" t="s">
        <v>62</v>
      </c>
      <c r="Z85" s="2" t="s">
        <v>103</v>
      </c>
      <c r="AA85" s="2" t="s">
        <v>104</v>
      </c>
      <c r="AB85" s="2" t="s">
        <v>63</v>
      </c>
      <c r="AC85" s="2" t="s">
        <v>64</v>
      </c>
    </row>
    <row r="86" spans="1:29" x14ac:dyDescent="0.35">
      <c r="A86" t="s">
        <v>95</v>
      </c>
      <c r="B86" t="s">
        <v>83</v>
      </c>
      <c r="C86" t="s">
        <v>173</v>
      </c>
      <c r="D86" t="s">
        <v>15</v>
      </c>
      <c r="E86" t="s">
        <v>85</v>
      </c>
      <c r="F86" t="s">
        <v>85</v>
      </c>
      <c r="G86" s="2" t="s">
        <v>83</v>
      </c>
      <c r="H86">
        <f>VALUE(Tabla2[[#This Row],[CODIGO PDV]])</f>
        <v>424810</v>
      </c>
      <c r="I86" s="32" t="s">
        <v>174</v>
      </c>
      <c r="J86" s="2" t="s">
        <v>175</v>
      </c>
      <c r="K86" t="s">
        <v>176</v>
      </c>
      <c r="L86" t="s">
        <v>130</v>
      </c>
      <c r="M86" s="2" t="s">
        <v>75</v>
      </c>
      <c r="N86" t="s">
        <v>152</v>
      </c>
      <c r="O86" t="s">
        <v>110</v>
      </c>
      <c r="P86" s="2" t="s">
        <v>20</v>
      </c>
      <c r="Q86" t="s">
        <v>61</v>
      </c>
      <c r="R86" t="s">
        <v>61</v>
      </c>
      <c r="S86" s="79" t="s">
        <v>177</v>
      </c>
      <c r="T86" t="s">
        <v>178</v>
      </c>
      <c r="U86" t="s">
        <v>179</v>
      </c>
      <c r="V86" s="2" t="s">
        <v>180</v>
      </c>
      <c r="W86" s="2" t="s">
        <v>62</v>
      </c>
      <c r="Z86" s="2" t="s">
        <v>103</v>
      </c>
      <c r="AA86" s="2" t="s">
        <v>104</v>
      </c>
      <c r="AB86" s="2" t="s">
        <v>63</v>
      </c>
      <c r="AC86" s="2" t="s">
        <v>64</v>
      </c>
    </row>
    <row r="87" spans="1:29" x14ac:dyDescent="0.35">
      <c r="A87" t="s">
        <v>95</v>
      </c>
      <c r="B87" t="s">
        <v>83</v>
      </c>
      <c r="C87" t="s">
        <v>173</v>
      </c>
      <c r="D87" t="s">
        <v>15</v>
      </c>
      <c r="E87" t="s">
        <v>85</v>
      </c>
      <c r="F87" t="s">
        <v>85</v>
      </c>
      <c r="G87" s="2" t="s">
        <v>83</v>
      </c>
      <c r="H87">
        <f>VALUE(Tabla2[[#This Row],[CODIGO PDV]])</f>
        <v>424810</v>
      </c>
      <c r="I87" s="32" t="s">
        <v>174</v>
      </c>
      <c r="J87" s="2" t="s">
        <v>175</v>
      </c>
      <c r="K87" t="s">
        <v>176</v>
      </c>
      <c r="L87" t="s">
        <v>130</v>
      </c>
      <c r="M87" s="2" t="s">
        <v>75</v>
      </c>
      <c r="N87" t="s">
        <v>152</v>
      </c>
      <c r="O87" t="s">
        <v>35</v>
      </c>
      <c r="P87" s="2" t="s">
        <v>20</v>
      </c>
      <c r="Q87" t="s">
        <v>61</v>
      </c>
      <c r="R87" t="s">
        <v>61</v>
      </c>
      <c r="S87" s="79" t="s">
        <v>177</v>
      </c>
      <c r="T87" t="s">
        <v>178</v>
      </c>
      <c r="U87" t="s">
        <v>179</v>
      </c>
      <c r="V87" s="2" t="s">
        <v>180</v>
      </c>
      <c r="W87" s="2" t="s">
        <v>62</v>
      </c>
      <c r="Z87" s="2" t="s">
        <v>103</v>
      </c>
      <c r="AA87" s="2" t="s">
        <v>104</v>
      </c>
      <c r="AB87" s="2" t="s">
        <v>63</v>
      </c>
      <c r="AC87" s="2" t="s">
        <v>64</v>
      </c>
    </row>
    <row r="88" spans="1:29" x14ac:dyDescent="0.35">
      <c r="A88" t="s">
        <v>95</v>
      </c>
      <c r="B88" t="s">
        <v>83</v>
      </c>
      <c r="C88" t="s">
        <v>173</v>
      </c>
      <c r="D88" t="s">
        <v>15</v>
      </c>
      <c r="E88" t="s">
        <v>85</v>
      </c>
      <c r="F88" t="s">
        <v>85</v>
      </c>
      <c r="G88" s="2" t="s">
        <v>83</v>
      </c>
      <c r="H88">
        <f>VALUE(Tabla2[[#This Row],[CODIGO PDV]])</f>
        <v>424810</v>
      </c>
      <c r="I88" s="32" t="s">
        <v>174</v>
      </c>
      <c r="J88" s="2" t="s">
        <v>175</v>
      </c>
      <c r="K88" t="s">
        <v>176</v>
      </c>
      <c r="L88" t="s">
        <v>130</v>
      </c>
      <c r="M88" s="2" t="s">
        <v>75</v>
      </c>
      <c r="N88" t="s">
        <v>152</v>
      </c>
      <c r="O88" t="s">
        <v>111</v>
      </c>
      <c r="P88" s="2" t="s">
        <v>94</v>
      </c>
      <c r="Q88" t="s">
        <v>61</v>
      </c>
      <c r="R88" t="s">
        <v>61</v>
      </c>
      <c r="S88" s="79" t="s">
        <v>177</v>
      </c>
      <c r="T88" t="s">
        <v>178</v>
      </c>
      <c r="U88" t="s">
        <v>179</v>
      </c>
      <c r="V88" s="2" t="s">
        <v>180</v>
      </c>
      <c r="W88" s="2" t="s">
        <v>62</v>
      </c>
      <c r="Z88" s="2" t="s">
        <v>103</v>
      </c>
      <c r="AA88" s="2" t="s">
        <v>104</v>
      </c>
      <c r="AB88" s="2" t="s">
        <v>63</v>
      </c>
      <c r="AC88" s="2" t="s">
        <v>64</v>
      </c>
    </row>
    <row r="89" spans="1:29" x14ac:dyDescent="0.35">
      <c r="A89" t="s">
        <v>95</v>
      </c>
      <c r="B89" t="s">
        <v>83</v>
      </c>
      <c r="C89" t="s">
        <v>173</v>
      </c>
      <c r="D89" t="s">
        <v>15</v>
      </c>
      <c r="E89" t="s">
        <v>85</v>
      </c>
      <c r="F89" t="s">
        <v>85</v>
      </c>
      <c r="G89" s="2" t="s">
        <v>83</v>
      </c>
      <c r="H89">
        <f>VALUE(Tabla2[[#This Row],[CODIGO PDV]])</f>
        <v>424810</v>
      </c>
      <c r="I89" s="32" t="s">
        <v>174</v>
      </c>
      <c r="J89" s="2" t="s">
        <v>175</v>
      </c>
      <c r="K89" t="s">
        <v>176</v>
      </c>
      <c r="L89" t="s">
        <v>130</v>
      </c>
      <c r="M89" s="2" t="s">
        <v>75</v>
      </c>
      <c r="N89" t="s">
        <v>152</v>
      </c>
      <c r="O89" t="s">
        <v>88</v>
      </c>
      <c r="P89" s="2" t="s">
        <v>20</v>
      </c>
      <c r="Q89" t="s">
        <v>61</v>
      </c>
      <c r="R89" t="s">
        <v>61</v>
      </c>
      <c r="S89" s="79" t="s">
        <v>177</v>
      </c>
      <c r="T89" t="s">
        <v>178</v>
      </c>
      <c r="U89" t="s">
        <v>179</v>
      </c>
      <c r="V89" s="2" t="s">
        <v>180</v>
      </c>
      <c r="W89" s="2" t="s">
        <v>62</v>
      </c>
      <c r="Z89" s="2" t="s">
        <v>103</v>
      </c>
      <c r="AA89" s="2" t="s">
        <v>104</v>
      </c>
      <c r="AB89" s="2" t="s">
        <v>63</v>
      </c>
      <c r="AC89" s="2" t="s">
        <v>64</v>
      </c>
    </row>
    <row r="90" spans="1:29" x14ac:dyDescent="0.35">
      <c r="A90" t="s">
        <v>95</v>
      </c>
      <c r="B90" t="s">
        <v>83</v>
      </c>
      <c r="C90" t="s">
        <v>173</v>
      </c>
      <c r="D90" t="s">
        <v>15</v>
      </c>
      <c r="E90" t="s">
        <v>85</v>
      </c>
      <c r="F90" t="s">
        <v>85</v>
      </c>
      <c r="G90" s="2" t="s">
        <v>83</v>
      </c>
      <c r="H90">
        <f>VALUE(Tabla2[[#This Row],[CODIGO PDV]])</f>
        <v>424810</v>
      </c>
      <c r="I90" s="32" t="s">
        <v>174</v>
      </c>
      <c r="J90" s="2" t="s">
        <v>175</v>
      </c>
      <c r="K90" t="s">
        <v>176</v>
      </c>
      <c r="L90" t="s">
        <v>130</v>
      </c>
      <c r="M90" s="2" t="s">
        <v>75</v>
      </c>
      <c r="N90" t="s">
        <v>152</v>
      </c>
      <c r="O90" t="s">
        <v>89</v>
      </c>
      <c r="P90" s="2" t="s">
        <v>20</v>
      </c>
      <c r="Q90" t="s">
        <v>61</v>
      </c>
      <c r="R90" t="s">
        <v>61</v>
      </c>
      <c r="S90" s="79" t="s">
        <v>177</v>
      </c>
      <c r="T90" t="s">
        <v>178</v>
      </c>
      <c r="U90" t="s">
        <v>179</v>
      </c>
      <c r="V90" s="2" t="s">
        <v>180</v>
      </c>
      <c r="W90" s="2" t="s">
        <v>62</v>
      </c>
      <c r="Z90" s="2" t="s">
        <v>103</v>
      </c>
      <c r="AA90" s="2" t="s">
        <v>104</v>
      </c>
      <c r="AB90" s="2" t="s">
        <v>63</v>
      </c>
      <c r="AC90" s="2" t="s">
        <v>64</v>
      </c>
    </row>
    <row r="91" spans="1:29" x14ac:dyDescent="0.35">
      <c r="A91" t="s">
        <v>95</v>
      </c>
      <c r="B91" t="s">
        <v>83</v>
      </c>
      <c r="C91" t="s">
        <v>173</v>
      </c>
      <c r="D91" t="s">
        <v>15</v>
      </c>
      <c r="E91" t="s">
        <v>85</v>
      </c>
      <c r="F91" t="s">
        <v>85</v>
      </c>
      <c r="G91" s="2" t="s">
        <v>83</v>
      </c>
      <c r="H91">
        <f>VALUE(Tabla2[[#This Row],[CODIGO PDV]])</f>
        <v>424810</v>
      </c>
      <c r="I91" s="32" t="s">
        <v>174</v>
      </c>
      <c r="J91" s="2" t="s">
        <v>175</v>
      </c>
      <c r="K91" t="s">
        <v>176</v>
      </c>
      <c r="L91" t="s">
        <v>130</v>
      </c>
      <c r="M91" s="2" t="s">
        <v>75</v>
      </c>
      <c r="N91" t="s">
        <v>152</v>
      </c>
      <c r="O91" t="s">
        <v>90</v>
      </c>
      <c r="P91" s="2" t="s">
        <v>94</v>
      </c>
      <c r="Q91" t="s">
        <v>61</v>
      </c>
      <c r="R91" t="s">
        <v>61</v>
      </c>
      <c r="S91" s="79" t="s">
        <v>177</v>
      </c>
      <c r="T91" t="s">
        <v>178</v>
      </c>
      <c r="U91" t="s">
        <v>179</v>
      </c>
      <c r="V91" s="2" t="s">
        <v>180</v>
      </c>
      <c r="W91" s="2" t="s">
        <v>62</v>
      </c>
      <c r="Z91" s="2" t="s">
        <v>103</v>
      </c>
      <c r="AA91" s="2" t="s">
        <v>104</v>
      </c>
      <c r="AB91" s="2" t="s">
        <v>63</v>
      </c>
      <c r="AC91" s="2" t="s">
        <v>64</v>
      </c>
    </row>
    <row r="92" spans="1:29" x14ac:dyDescent="0.35">
      <c r="A92" t="s">
        <v>95</v>
      </c>
      <c r="B92" t="s">
        <v>83</v>
      </c>
      <c r="C92" t="s">
        <v>173</v>
      </c>
      <c r="D92" t="s">
        <v>15</v>
      </c>
      <c r="E92" t="s">
        <v>85</v>
      </c>
      <c r="F92" t="s">
        <v>85</v>
      </c>
      <c r="G92" s="2" t="s">
        <v>83</v>
      </c>
      <c r="H92">
        <f>VALUE(Tabla2[[#This Row],[CODIGO PDV]])</f>
        <v>424810</v>
      </c>
      <c r="I92" s="32" t="s">
        <v>174</v>
      </c>
      <c r="J92" s="2" t="s">
        <v>175</v>
      </c>
      <c r="K92" t="s">
        <v>176</v>
      </c>
      <c r="L92" t="s">
        <v>130</v>
      </c>
      <c r="M92" s="2" t="s">
        <v>75</v>
      </c>
      <c r="N92" t="s">
        <v>152</v>
      </c>
      <c r="O92" t="s">
        <v>91</v>
      </c>
      <c r="P92" s="2" t="s">
        <v>94</v>
      </c>
      <c r="Q92" t="s">
        <v>61</v>
      </c>
      <c r="R92" t="s">
        <v>61</v>
      </c>
      <c r="S92" s="79" t="s">
        <v>177</v>
      </c>
      <c r="T92" t="s">
        <v>178</v>
      </c>
      <c r="U92" t="s">
        <v>179</v>
      </c>
      <c r="V92" s="2" t="s">
        <v>180</v>
      </c>
      <c r="W92" s="2" t="s">
        <v>62</v>
      </c>
      <c r="Z92" s="2" t="s">
        <v>103</v>
      </c>
      <c r="AA92" s="2" t="s">
        <v>104</v>
      </c>
      <c r="AB92" s="2" t="s">
        <v>63</v>
      </c>
      <c r="AC92" s="2" t="s">
        <v>64</v>
      </c>
    </row>
    <row r="93" spans="1:29" x14ac:dyDescent="0.35">
      <c r="A93" t="s">
        <v>95</v>
      </c>
      <c r="B93" t="s">
        <v>83</v>
      </c>
      <c r="C93" t="s">
        <v>173</v>
      </c>
      <c r="D93" t="s">
        <v>15</v>
      </c>
      <c r="E93" t="s">
        <v>85</v>
      </c>
      <c r="F93" t="s">
        <v>85</v>
      </c>
      <c r="G93" s="2" t="s">
        <v>83</v>
      </c>
      <c r="H93">
        <f>VALUE(Tabla2[[#This Row],[CODIGO PDV]])</f>
        <v>424810</v>
      </c>
      <c r="I93" s="32" t="s">
        <v>174</v>
      </c>
      <c r="J93" s="2" t="s">
        <v>175</v>
      </c>
      <c r="K93" t="s">
        <v>176</v>
      </c>
      <c r="L93" t="s">
        <v>130</v>
      </c>
      <c r="M93" s="2" t="s">
        <v>75</v>
      </c>
      <c r="N93" t="s">
        <v>152</v>
      </c>
      <c r="O93" t="s">
        <v>92</v>
      </c>
      <c r="P93" s="2" t="s">
        <v>94</v>
      </c>
      <c r="Q93" t="s">
        <v>61</v>
      </c>
      <c r="R93" t="s">
        <v>61</v>
      </c>
      <c r="S93" s="79" t="s">
        <v>177</v>
      </c>
      <c r="T93" t="s">
        <v>178</v>
      </c>
      <c r="U93" t="s">
        <v>179</v>
      </c>
      <c r="V93" s="2" t="s">
        <v>180</v>
      </c>
      <c r="W93" s="2" t="s">
        <v>62</v>
      </c>
      <c r="Z93" s="2" t="s">
        <v>103</v>
      </c>
      <c r="AA93" s="2" t="s">
        <v>104</v>
      </c>
      <c r="AB93" s="2" t="s">
        <v>63</v>
      </c>
      <c r="AC93" s="2" t="s">
        <v>64</v>
      </c>
    </row>
    <row r="94" spans="1:29" x14ac:dyDescent="0.35">
      <c r="A94" t="s">
        <v>95</v>
      </c>
      <c r="B94" t="s">
        <v>83</v>
      </c>
      <c r="C94" t="s">
        <v>173</v>
      </c>
      <c r="D94" t="s">
        <v>15</v>
      </c>
      <c r="E94" t="s">
        <v>85</v>
      </c>
      <c r="F94" t="s">
        <v>85</v>
      </c>
      <c r="G94" s="2" t="s">
        <v>83</v>
      </c>
      <c r="H94">
        <f>VALUE(Tabla2[[#This Row],[CODIGO PDV]])</f>
        <v>424810</v>
      </c>
      <c r="I94" s="32" t="s">
        <v>174</v>
      </c>
      <c r="J94" s="2" t="s">
        <v>175</v>
      </c>
      <c r="K94" t="s">
        <v>176</v>
      </c>
      <c r="L94" t="s">
        <v>130</v>
      </c>
      <c r="M94" s="2" t="s">
        <v>75</v>
      </c>
      <c r="N94" t="s">
        <v>152</v>
      </c>
      <c r="O94" t="s">
        <v>93</v>
      </c>
      <c r="P94" s="2" t="s">
        <v>94</v>
      </c>
      <c r="Q94" t="s">
        <v>61</v>
      </c>
      <c r="R94" t="s">
        <v>61</v>
      </c>
      <c r="S94" s="79" t="s">
        <v>177</v>
      </c>
      <c r="T94" t="s">
        <v>178</v>
      </c>
      <c r="U94" t="s">
        <v>179</v>
      </c>
      <c r="V94" s="2" t="s">
        <v>180</v>
      </c>
      <c r="W94" s="2" t="s">
        <v>62</v>
      </c>
      <c r="Z94" s="2" t="s">
        <v>103</v>
      </c>
      <c r="AA94" s="2" t="s">
        <v>104</v>
      </c>
      <c r="AB94" s="2" t="s">
        <v>63</v>
      </c>
      <c r="AC94" s="2" t="s">
        <v>64</v>
      </c>
    </row>
    <row r="95" spans="1:29" x14ac:dyDescent="0.35">
      <c r="A95" t="s">
        <v>95</v>
      </c>
      <c r="B95" t="s">
        <v>83</v>
      </c>
      <c r="C95" t="s">
        <v>173</v>
      </c>
      <c r="D95" t="s">
        <v>15</v>
      </c>
      <c r="E95" t="s">
        <v>85</v>
      </c>
      <c r="F95" t="s">
        <v>85</v>
      </c>
      <c r="G95" s="2" t="s">
        <v>83</v>
      </c>
      <c r="H95">
        <f>VALUE(Tabla2[[#This Row],[CODIGO PDV]])</f>
        <v>424810</v>
      </c>
      <c r="I95" s="32" t="s">
        <v>174</v>
      </c>
      <c r="J95" s="2" t="s">
        <v>175</v>
      </c>
      <c r="K95" t="s">
        <v>176</v>
      </c>
      <c r="L95" t="s">
        <v>130</v>
      </c>
      <c r="M95" s="2" t="s">
        <v>75</v>
      </c>
      <c r="N95" t="s">
        <v>152</v>
      </c>
      <c r="O95" t="s">
        <v>129</v>
      </c>
      <c r="P95" s="2" t="s">
        <v>20</v>
      </c>
      <c r="Q95" t="s">
        <v>61</v>
      </c>
      <c r="R95" t="s">
        <v>61</v>
      </c>
      <c r="S95" s="79" t="s">
        <v>177</v>
      </c>
      <c r="T95" t="s">
        <v>178</v>
      </c>
      <c r="U95" t="s">
        <v>179</v>
      </c>
      <c r="V95" s="2" t="s">
        <v>180</v>
      </c>
      <c r="W95" s="2" t="s">
        <v>62</v>
      </c>
      <c r="Z95" s="2" t="s">
        <v>103</v>
      </c>
      <c r="AA95" s="2" t="s">
        <v>104</v>
      </c>
      <c r="AB95" s="2" t="s">
        <v>63</v>
      </c>
      <c r="AC95" s="2" t="s">
        <v>64</v>
      </c>
    </row>
    <row r="96" spans="1:29" x14ac:dyDescent="0.35">
      <c r="A96" t="s">
        <v>95</v>
      </c>
      <c r="B96" t="s">
        <v>83</v>
      </c>
      <c r="C96" t="s">
        <v>173</v>
      </c>
      <c r="D96" t="s">
        <v>15</v>
      </c>
      <c r="E96" t="s">
        <v>85</v>
      </c>
      <c r="F96" t="s">
        <v>85</v>
      </c>
      <c r="G96" s="2" t="s">
        <v>83</v>
      </c>
      <c r="H96">
        <f>VALUE(Tabla2[[#This Row],[CODIGO PDV]])</f>
        <v>424810</v>
      </c>
      <c r="I96" s="32" t="s">
        <v>174</v>
      </c>
      <c r="J96" s="2" t="s">
        <v>175</v>
      </c>
      <c r="K96" t="s">
        <v>176</v>
      </c>
      <c r="L96" t="s">
        <v>130</v>
      </c>
      <c r="M96" s="2" t="s">
        <v>75</v>
      </c>
      <c r="N96" t="s">
        <v>152</v>
      </c>
      <c r="O96" t="s">
        <v>121</v>
      </c>
      <c r="P96" s="2" t="s">
        <v>20</v>
      </c>
      <c r="Q96" t="s">
        <v>61</v>
      </c>
      <c r="R96" t="s">
        <v>61</v>
      </c>
      <c r="S96" s="79" t="s">
        <v>177</v>
      </c>
      <c r="T96" t="s">
        <v>178</v>
      </c>
      <c r="U96" t="s">
        <v>179</v>
      </c>
      <c r="V96" s="2" t="s">
        <v>180</v>
      </c>
      <c r="W96" s="2" t="s">
        <v>62</v>
      </c>
      <c r="Z96" s="2" t="s">
        <v>103</v>
      </c>
      <c r="AA96" s="2" t="s">
        <v>104</v>
      </c>
      <c r="AB96" s="2" t="s">
        <v>63</v>
      </c>
      <c r="AC96" s="2" t="s">
        <v>64</v>
      </c>
    </row>
    <row r="97" spans="1:29" x14ac:dyDescent="0.35">
      <c r="A97" t="s">
        <v>95</v>
      </c>
      <c r="B97" t="s">
        <v>83</v>
      </c>
      <c r="C97" t="s">
        <v>173</v>
      </c>
      <c r="D97" t="s">
        <v>15</v>
      </c>
      <c r="E97" t="s">
        <v>85</v>
      </c>
      <c r="F97" t="s">
        <v>85</v>
      </c>
      <c r="G97" s="2" t="s">
        <v>83</v>
      </c>
      <c r="H97">
        <f>VALUE(Tabla2[[#This Row],[CODIGO PDV]])</f>
        <v>424810</v>
      </c>
      <c r="I97" s="32" t="s">
        <v>174</v>
      </c>
      <c r="J97" s="2" t="s">
        <v>175</v>
      </c>
      <c r="K97" t="s">
        <v>176</v>
      </c>
      <c r="L97" t="s">
        <v>130</v>
      </c>
      <c r="M97" s="2" t="s">
        <v>75</v>
      </c>
      <c r="N97" t="s">
        <v>152</v>
      </c>
      <c r="O97" t="s">
        <v>131</v>
      </c>
      <c r="P97" s="2" t="s">
        <v>94</v>
      </c>
      <c r="Q97" t="s">
        <v>61</v>
      </c>
      <c r="R97" t="s">
        <v>61</v>
      </c>
      <c r="S97" s="79" t="s">
        <v>177</v>
      </c>
      <c r="T97" t="s">
        <v>178</v>
      </c>
      <c r="U97" t="s">
        <v>179</v>
      </c>
      <c r="V97" s="2" t="s">
        <v>180</v>
      </c>
      <c r="W97" s="2" t="s">
        <v>62</v>
      </c>
      <c r="Z97" s="2" t="s">
        <v>103</v>
      </c>
      <c r="AA97" s="2" t="s">
        <v>104</v>
      </c>
      <c r="AB97" s="2" t="s">
        <v>63</v>
      </c>
      <c r="AC97" s="2" t="s">
        <v>64</v>
      </c>
    </row>
    <row r="98" spans="1:29" x14ac:dyDescent="0.35">
      <c r="A98" t="s">
        <v>95</v>
      </c>
      <c r="B98" t="s">
        <v>83</v>
      </c>
      <c r="C98" t="s">
        <v>173</v>
      </c>
      <c r="D98" t="s">
        <v>15</v>
      </c>
      <c r="E98" t="s">
        <v>85</v>
      </c>
      <c r="F98" t="s">
        <v>85</v>
      </c>
      <c r="G98" s="2" t="s">
        <v>83</v>
      </c>
      <c r="H98">
        <f>VALUE(Tabla2[[#This Row],[CODIGO PDV]])</f>
        <v>424810</v>
      </c>
      <c r="I98" s="32" t="s">
        <v>174</v>
      </c>
      <c r="J98" s="2" t="s">
        <v>175</v>
      </c>
      <c r="K98" t="s">
        <v>176</v>
      </c>
      <c r="L98" t="s">
        <v>130</v>
      </c>
      <c r="M98" s="2" t="s">
        <v>75</v>
      </c>
      <c r="N98" t="s">
        <v>152</v>
      </c>
      <c r="O98" t="s">
        <v>132</v>
      </c>
      <c r="P98" s="2" t="s">
        <v>20</v>
      </c>
      <c r="Q98" t="s">
        <v>61</v>
      </c>
      <c r="R98" t="s">
        <v>61</v>
      </c>
      <c r="S98" s="79" t="s">
        <v>177</v>
      </c>
      <c r="T98" t="s">
        <v>178</v>
      </c>
      <c r="U98" t="s">
        <v>179</v>
      </c>
      <c r="V98" s="2" t="s">
        <v>180</v>
      </c>
      <c r="W98" s="2" t="s">
        <v>62</v>
      </c>
      <c r="Z98" s="2" t="s">
        <v>103</v>
      </c>
      <c r="AA98" s="2" t="s">
        <v>104</v>
      </c>
      <c r="AB98" s="2" t="s">
        <v>63</v>
      </c>
      <c r="AC98" s="2" t="s">
        <v>64</v>
      </c>
    </row>
    <row r="99" spans="1:29" x14ac:dyDescent="0.35">
      <c r="A99" t="s">
        <v>95</v>
      </c>
      <c r="B99" t="s">
        <v>83</v>
      </c>
      <c r="C99" t="s">
        <v>173</v>
      </c>
      <c r="D99" t="s">
        <v>15</v>
      </c>
      <c r="E99" t="s">
        <v>85</v>
      </c>
      <c r="F99" t="s">
        <v>85</v>
      </c>
      <c r="G99" s="2" t="s">
        <v>83</v>
      </c>
      <c r="H99">
        <f>VALUE(Tabla2[[#This Row],[CODIGO PDV]])</f>
        <v>424810</v>
      </c>
      <c r="I99" s="32" t="s">
        <v>174</v>
      </c>
      <c r="J99" s="2" t="s">
        <v>175</v>
      </c>
      <c r="K99" t="s">
        <v>176</v>
      </c>
      <c r="L99" t="s">
        <v>130</v>
      </c>
      <c r="M99" s="2" t="s">
        <v>75</v>
      </c>
      <c r="N99" t="s">
        <v>152</v>
      </c>
      <c r="O99" t="s">
        <v>133</v>
      </c>
      <c r="P99" s="2" t="s">
        <v>20</v>
      </c>
      <c r="Q99" t="s">
        <v>61</v>
      </c>
      <c r="R99" t="s">
        <v>61</v>
      </c>
      <c r="S99" s="79" t="s">
        <v>177</v>
      </c>
      <c r="T99" t="s">
        <v>178</v>
      </c>
      <c r="U99" t="s">
        <v>179</v>
      </c>
      <c r="V99" s="2" t="s">
        <v>180</v>
      </c>
      <c r="W99" s="2" t="s">
        <v>62</v>
      </c>
      <c r="Z99" s="2" t="s">
        <v>103</v>
      </c>
      <c r="AA99" s="2" t="s">
        <v>104</v>
      </c>
      <c r="AB99" s="2" t="s">
        <v>63</v>
      </c>
      <c r="AC99" s="2" t="s">
        <v>64</v>
      </c>
    </row>
    <row r="100" spans="1:29" x14ac:dyDescent="0.35">
      <c r="A100" t="s">
        <v>95</v>
      </c>
      <c r="B100" t="s">
        <v>83</v>
      </c>
      <c r="C100" t="s">
        <v>173</v>
      </c>
      <c r="D100" t="s">
        <v>15</v>
      </c>
      <c r="E100" t="s">
        <v>85</v>
      </c>
      <c r="F100" t="s">
        <v>85</v>
      </c>
      <c r="G100" s="2" t="s">
        <v>83</v>
      </c>
      <c r="H100">
        <f>VALUE(Tabla2[[#This Row],[CODIGO PDV]])</f>
        <v>424810</v>
      </c>
      <c r="I100" s="32" t="s">
        <v>174</v>
      </c>
      <c r="J100" s="2" t="s">
        <v>175</v>
      </c>
      <c r="K100" t="s">
        <v>176</v>
      </c>
      <c r="L100" t="s">
        <v>130</v>
      </c>
      <c r="M100" s="2" t="s">
        <v>75</v>
      </c>
      <c r="N100" t="s">
        <v>152</v>
      </c>
      <c r="O100" t="s">
        <v>134</v>
      </c>
      <c r="P100" s="2" t="s">
        <v>20</v>
      </c>
      <c r="Q100" t="s">
        <v>61</v>
      </c>
      <c r="R100" t="s">
        <v>61</v>
      </c>
      <c r="S100" s="79" t="s">
        <v>177</v>
      </c>
      <c r="T100" t="s">
        <v>178</v>
      </c>
      <c r="U100" t="s">
        <v>179</v>
      </c>
      <c r="V100" s="2" t="s">
        <v>180</v>
      </c>
      <c r="W100" s="2" t="s">
        <v>62</v>
      </c>
      <c r="Z100" s="2" t="s">
        <v>103</v>
      </c>
      <c r="AA100" s="2" t="s">
        <v>104</v>
      </c>
      <c r="AB100" s="2" t="s">
        <v>63</v>
      </c>
      <c r="AC100" s="2" t="s">
        <v>64</v>
      </c>
    </row>
    <row r="101" spans="1:29" x14ac:dyDescent="0.35">
      <c r="A101" t="s">
        <v>95</v>
      </c>
      <c r="B101" t="s">
        <v>83</v>
      </c>
      <c r="C101" t="s">
        <v>173</v>
      </c>
      <c r="D101" t="s">
        <v>15</v>
      </c>
      <c r="E101" t="s">
        <v>85</v>
      </c>
      <c r="F101" t="s">
        <v>85</v>
      </c>
      <c r="G101" s="2" t="s">
        <v>83</v>
      </c>
      <c r="H101">
        <f>VALUE(Tabla2[[#This Row],[CODIGO PDV]])</f>
        <v>424810</v>
      </c>
      <c r="I101" s="32" t="s">
        <v>174</v>
      </c>
      <c r="J101" s="2" t="s">
        <v>175</v>
      </c>
      <c r="K101" t="s">
        <v>176</v>
      </c>
      <c r="L101" t="s">
        <v>130</v>
      </c>
      <c r="M101" s="2" t="s">
        <v>75</v>
      </c>
      <c r="N101" t="s">
        <v>152</v>
      </c>
      <c r="O101" t="s">
        <v>144</v>
      </c>
      <c r="P101" s="2" t="s">
        <v>20</v>
      </c>
      <c r="Q101" t="s">
        <v>61</v>
      </c>
      <c r="R101" t="s">
        <v>61</v>
      </c>
      <c r="S101" s="79" t="s">
        <v>177</v>
      </c>
      <c r="T101" t="s">
        <v>178</v>
      </c>
      <c r="U101" t="s">
        <v>179</v>
      </c>
      <c r="V101" s="2" t="s">
        <v>180</v>
      </c>
      <c r="W101" s="2" t="s">
        <v>62</v>
      </c>
      <c r="Z101" s="2" t="s">
        <v>103</v>
      </c>
      <c r="AA101" s="2" t="s">
        <v>104</v>
      </c>
      <c r="AB101" s="2" t="s">
        <v>63</v>
      </c>
      <c r="AC101" s="2" t="s">
        <v>64</v>
      </c>
    </row>
    <row r="102" spans="1:29" x14ac:dyDescent="0.35">
      <c r="A102" t="s">
        <v>95</v>
      </c>
      <c r="B102" t="s">
        <v>83</v>
      </c>
      <c r="C102" t="s">
        <v>173</v>
      </c>
      <c r="D102" t="s">
        <v>15</v>
      </c>
      <c r="E102" t="s">
        <v>85</v>
      </c>
      <c r="F102" t="s">
        <v>85</v>
      </c>
      <c r="G102" s="2" t="s">
        <v>83</v>
      </c>
      <c r="H102">
        <f>VALUE(Tabla2[[#This Row],[CODIGO PDV]])</f>
        <v>424810</v>
      </c>
      <c r="I102" s="32" t="s">
        <v>174</v>
      </c>
      <c r="J102" s="2" t="s">
        <v>175</v>
      </c>
      <c r="K102" t="s">
        <v>176</v>
      </c>
      <c r="L102" t="s">
        <v>130</v>
      </c>
      <c r="M102" s="2" t="s">
        <v>75</v>
      </c>
      <c r="N102" t="s">
        <v>152</v>
      </c>
      <c r="O102" t="s">
        <v>145</v>
      </c>
      <c r="P102" s="2" t="s">
        <v>20</v>
      </c>
      <c r="Q102" t="s">
        <v>61</v>
      </c>
      <c r="R102" t="s">
        <v>61</v>
      </c>
      <c r="S102" s="79" t="s">
        <v>177</v>
      </c>
      <c r="T102" t="s">
        <v>178</v>
      </c>
      <c r="U102" t="s">
        <v>179</v>
      </c>
      <c r="V102" s="2" t="s">
        <v>180</v>
      </c>
      <c r="W102" s="2" t="s">
        <v>62</v>
      </c>
      <c r="Z102" s="2" t="s">
        <v>103</v>
      </c>
      <c r="AA102" s="2" t="s">
        <v>104</v>
      </c>
      <c r="AB102" s="2" t="s">
        <v>63</v>
      </c>
      <c r="AC102" s="2" t="s">
        <v>64</v>
      </c>
    </row>
    <row r="103" spans="1:29" x14ac:dyDescent="0.35">
      <c r="A103" t="s">
        <v>95</v>
      </c>
      <c r="B103" t="s">
        <v>83</v>
      </c>
      <c r="C103" t="s">
        <v>173</v>
      </c>
      <c r="D103" t="s">
        <v>15</v>
      </c>
      <c r="E103" t="s">
        <v>85</v>
      </c>
      <c r="F103" t="s">
        <v>85</v>
      </c>
      <c r="G103" s="2" t="s">
        <v>83</v>
      </c>
      <c r="H103">
        <f>VALUE(Tabla2[[#This Row],[CODIGO PDV]])</f>
        <v>424810</v>
      </c>
      <c r="I103" s="32" t="s">
        <v>174</v>
      </c>
      <c r="J103" s="2" t="s">
        <v>175</v>
      </c>
      <c r="K103" t="s">
        <v>176</v>
      </c>
      <c r="L103" t="s">
        <v>130</v>
      </c>
      <c r="M103" s="2" t="s">
        <v>75</v>
      </c>
      <c r="N103" t="s">
        <v>152</v>
      </c>
      <c r="O103" t="s">
        <v>135</v>
      </c>
      <c r="P103" s="2" t="s">
        <v>20</v>
      </c>
      <c r="Q103" t="s">
        <v>61</v>
      </c>
      <c r="R103" t="s">
        <v>61</v>
      </c>
      <c r="S103" s="79" t="s">
        <v>177</v>
      </c>
      <c r="T103" t="s">
        <v>178</v>
      </c>
      <c r="U103" t="s">
        <v>179</v>
      </c>
      <c r="V103" s="2" t="s">
        <v>180</v>
      </c>
      <c r="W103" s="2" t="s">
        <v>62</v>
      </c>
      <c r="Z103" s="2" t="s">
        <v>103</v>
      </c>
      <c r="AA103" s="2" t="s">
        <v>104</v>
      </c>
      <c r="AB103" s="2" t="s">
        <v>63</v>
      </c>
      <c r="AC103" s="2" t="s">
        <v>64</v>
      </c>
    </row>
    <row r="104" spans="1:29" x14ac:dyDescent="0.35">
      <c r="A104" t="s">
        <v>95</v>
      </c>
      <c r="B104" t="s">
        <v>83</v>
      </c>
      <c r="C104" t="s">
        <v>173</v>
      </c>
      <c r="D104" t="s">
        <v>15</v>
      </c>
      <c r="E104" t="s">
        <v>85</v>
      </c>
      <c r="F104" t="s">
        <v>85</v>
      </c>
      <c r="G104" s="2" t="s">
        <v>83</v>
      </c>
      <c r="H104">
        <f>VALUE(Tabla2[[#This Row],[CODIGO PDV]])</f>
        <v>424810</v>
      </c>
      <c r="I104" s="32" t="s">
        <v>174</v>
      </c>
      <c r="J104" s="2" t="s">
        <v>175</v>
      </c>
      <c r="K104" t="s">
        <v>176</v>
      </c>
      <c r="L104" t="s">
        <v>130</v>
      </c>
      <c r="M104" s="2" t="s">
        <v>75</v>
      </c>
      <c r="N104" t="s">
        <v>152</v>
      </c>
      <c r="O104" t="s">
        <v>112</v>
      </c>
      <c r="P104" s="2" t="s">
        <v>15</v>
      </c>
      <c r="Q104" t="s">
        <v>61</v>
      </c>
      <c r="R104" t="s">
        <v>61</v>
      </c>
      <c r="S104" s="79" t="s">
        <v>177</v>
      </c>
      <c r="T104" t="s">
        <v>178</v>
      </c>
      <c r="U104" t="s">
        <v>179</v>
      </c>
      <c r="V104" s="2" t="s">
        <v>180</v>
      </c>
      <c r="W104" s="2" t="s">
        <v>62</v>
      </c>
      <c r="Z104" s="2" t="s">
        <v>103</v>
      </c>
      <c r="AA104" s="2" t="s">
        <v>104</v>
      </c>
      <c r="AB104" s="2" t="s">
        <v>63</v>
      </c>
      <c r="AC104" s="2" t="s">
        <v>64</v>
      </c>
    </row>
    <row r="105" spans="1:29" x14ac:dyDescent="0.35">
      <c r="A105" t="s">
        <v>95</v>
      </c>
      <c r="B105" t="s">
        <v>83</v>
      </c>
      <c r="C105" t="s">
        <v>173</v>
      </c>
      <c r="D105" t="s">
        <v>15</v>
      </c>
      <c r="E105" t="s">
        <v>85</v>
      </c>
      <c r="F105" t="s">
        <v>85</v>
      </c>
      <c r="G105" s="2" t="s">
        <v>83</v>
      </c>
      <c r="H105">
        <f>VALUE(Tabla2[[#This Row],[CODIGO PDV]])</f>
        <v>424810</v>
      </c>
      <c r="I105" s="32" t="s">
        <v>174</v>
      </c>
      <c r="J105" s="2" t="s">
        <v>175</v>
      </c>
      <c r="K105" t="s">
        <v>176</v>
      </c>
      <c r="L105" t="s">
        <v>130</v>
      </c>
      <c r="M105" s="2" t="s">
        <v>75</v>
      </c>
      <c r="N105" t="s">
        <v>152</v>
      </c>
      <c r="O105" t="s">
        <v>122</v>
      </c>
      <c r="P105" s="2" t="s">
        <v>20</v>
      </c>
      <c r="Q105" t="s">
        <v>61</v>
      </c>
      <c r="R105" t="s">
        <v>61</v>
      </c>
      <c r="S105" s="79" t="s">
        <v>177</v>
      </c>
      <c r="T105" t="s">
        <v>178</v>
      </c>
      <c r="U105" t="s">
        <v>179</v>
      </c>
      <c r="V105" s="2" t="s">
        <v>180</v>
      </c>
      <c r="W105" s="2" t="s">
        <v>62</v>
      </c>
      <c r="Z105" s="2" t="s">
        <v>103</v>
      </c>
      <c r="AA105" s="2" t="s">
        <v>104</v>
      </c>
      <c r="AB105" s="2" t="s">
        <v>63</v>
      </c>
      <c r="AC105" s="2" t="s">
        <v>64</v>
      </c>
    </row>
    <row r="106" spans="1:29" x14ac:dyDescent="0.35">
      <c r="A106" t="s">
        <v>95</v>
      </c>
      <c r="B106" t="s">
        <v>83</v>
      </c>
      <c r="C106" t="s">
        <v>173</v>
      </c>
      <c r="D106" t="s">
        <v>15</v>
      </c>
      <c r="E106" t="s">
        <v>85</v>
      </c>
      <c r="F106" t="s">
        <v>85</v>
      </c>
      <c r="G106" s="2" t="s">
        <v>83</v>
      </c>
      <c r="H106">
        <f>VALUE(Tabla2[[#This Row],[CODIGO PDV]])</f>
        <v>424810</v>
      </c>
      <c r="I106" s="32" t="s">
        <v>174</v>
      </c>
      <c r="J106" s="2" t="s">
        <v>175</v>
      </c>
      <c r="K106" t="s">
        <v>176</v>
      </c>
      <c r="L106" t="s">
        <v>130</v>
      </c>
      <c r="M106" s="2" t="s">
        <v>75</v>
      </c>
      <c r="N106" t="s">
        <v>152</v>
      </c>
      <c r="O106" t="s">
        <v>123</v>
      </c>
      <c r="P106" s="2" t="s">
        <v>20</v>
      </c>
      <c r="Q106" t="s">
        <v>61</v>
      </c>
      <c r="R106" t="s">
        <v>61</v>
      </c>
      <c r="S106" s="79" t="s">
        <v>177</v>
      </c>
      <c r="T106" t="s">
        <v>178</v>
      </c>
      <c r="U106" t="s">
        <v>179</v>
      </c>
      <c r="V106" s="2" t="s">
        <v>180</v>
      </c>
      <c r="W106" s="2" t="s">
        <v>62</v>
      </c>
      <c r="Z106" s="2" t="s">
        <v>103</v>
      </c>
      <c r="AA106" s="2" t="s">
        <v>104</v>
      </c>
      <c r="AB106" s="2" t="s">
        <v>63</v>
      </c>
      <c r="AC106" s="2" t="s">
        <v>64</v>
      </c>
    </row>
    <row r="107" spans="1:29" x14ac:dyDescent="0.35">
      <c r="A107" t="s">
        <v>95</v>
      </c>
      <c r="B107" t="s">
        <v>83</v>
      </c>
      <c r="C107" t="s">
        <v>173</v>
      </c>
      <c r="D107" t="s">
        <v>15</v>
      </c>
      <c r="E107" t="s">
        <v>85</v>
      </c>
      <c r="F107" t="s">
        <v>85</v>
      </c>
      <c r="G107" s="2" t="s">
        <v>83</v>
      </c>
      <c r="H107">
        <f>VALUE(Tabla2[[#This Row],[CODIGO PDV]])</f>
        <v>424810</v>
      </c>
      <c r="I107" s="32" t="s">
        <v>174</v>
      </c>
      <c r="J107" s="2" t="s">
        <v>175</v>
      </c>
      <c r="K107" t="s">
        <v>176</v>
      </c>
      <c r="L107" t="s">
        <v>130</v>
      </c>
      <c r="M107" s="2" t="s">
        <v>75</v>
      </c>
      <c r="N107" t="s">
        <v>152</v>
      </c>
      <c r="O107" t="s">
        <v>124</v>
      </c>
      <c r="P107" s="2" t="s">
        <v>20</v>
      </c>
      <c r="Q107" t="s">
        <v>61</v>
      </c>
      <c r="R107" t="s">
        <v>61</v>
      </c>
      <c r="S107" s="79" t="s">
        <v>177</v>
      </c>
      <c r="T107" t="s">
        <v>178</v>
      </c>
      <c r="U107" t="s">
        <v>179</v>
      </c>
      <c r="V107" s="2" t="s">
        <v>180</v>
      </c>
      <c r="W107" s="2" t="s">
        <v>62</v>
      </c>
      <c r="Z107" s="2" t="s">
        <v>103</v>
      </c>
      <c r="AA107" s="2" t="s">
        <v>104</v>
      </c>
      <c r="AB107" s="2" t="s">
        <v>63</v>
      </c>
      <c r="AC107" s="2" t="s">
        <v>64</v>
      </c>
    </row>
    <row r="108" spans="1:29" x14ac:dyDescent="0.35">
      <c r="A108" t="s">
        <v>95</v>
      </c>
      <c r="B108" t="s">
        <v>83</v>
      </c>
      <c r="C108" t="s">
        <v>173</v>
      </c>
      <c r="D108" t="s">
        <v>15</v>
      </c>
      <c r="E108" t="s">
        <v>85</v>
      </c>
      <c r="F108" t="s">
        <v>85</v>
      </c>
      <c r="G108" s="2" t="s">
        <v>83</v>
      </c>
      <c r="H108">
        <f>VALUE(Tabla2[[#This Row],[CODIGO PDV]])</f>
        <v>424810</v>
      </c>
      <c r="I108" s="32" t="s">
        <v>174</v>
      </c>
      <c r="J108" s="2" t="s">
        <v>175</v>
      </c>
      <c r="K108" t="s">
        <v>176</v>
      </c>
      <c r="L108" t="s">
        <v>130</v>
      </c>
      <c r="M108" s="2" t="s">
        <v>75</v>
      </c>
      <c r="N108" t="s">
        <v>152</v>
      </c>
      <c r="O108" t="s">
        <v>113</v>
      </c>
      <c r="P108" s="2" t="s">
        <v>147</v>
      </c>
      <c r="Q108" t="s">
        <v>61</v>
      </c>
      <c r="R108" t="s">
        <v>61</v>
      </c>
      <c r="S108" s="79" t="s">
        <v>177</v>
      </c>
      <c r="T108" t="s">
        <v>178</v>
      </c>
      <c r="U108" t="s">
        <v>179</v>
      </c>
      <c r="V108" s="2" t="s">
        <v>180</v>
      </c>
      <c r="W108" s="2" t="s">
        <v>62</v>
      </c>
      <c r="Z108" s="2" t="s">
        <v>103</v>
      </c>
      <c r="AA108" s="2" t="s">
        <v>104</v>
      </c>
      <c r="AB108" s="2" t="s">
        <v>63</v>
      </c>
      <c r="AC108" s="2" t="s">
        <v>64</v>
      </c>
    </row>
    <row r="109" spans="1:29" x14ac:dyDescent="0.35">
      <c r="A109" t="s">
        <v>95</v>
      </c>
      <c r="B109" t="s">
        <v>83</v>
      </c>
      <c r="C109" t="s">
        <v>173</v>
      </c>
      <c r="D109" t="s">
        <v>15</v>
      </c>
      <c r="E109" t="s">
        <v>85</v>
      </c>
      <c r="F109" t="s">
        <v>85</v>
      </c>
      <c r="G109" s="2" t="s">
        <v>83</v>
      </c>
      <c r="H109">
        <f>VALUE(Tabla2[[#This Row],[CODIGO PDV]])</f>
        <v>424810</v>
      </c>
      <c r="I109" s="32" t="s">
        <v>174</v>
      </c>
      <c r="J109" s="2" t="s">
        <v>175</v>
      </c>
      <c r="K109" t="s">
        <v>176</v>
      </c>
      <c r="L109" t="s">
        <v>130</v>
      </c>
      <c r="M109" s="2" t="s">
        <v>75</v>
      </c>
      <c r="N109" t="s">
        <v>152</v>
      </c>
      <c r="O109" t="s">
        <v>114</v>
      </c>
      <c r="P109" s="2" t="s">
        <v>20</v>
      </c>
      <c r="Q109" t="s">
        <v>61</v>
      </c>
      <c r="R109" t="s">
        <v>61</v>
      </c>
      <c r="S109" s="79" t="s">
        <v>177</v>
      </c>
      <c r="T109" t="s">
        <v>178</v>
      </c>
      <c r="U109" t="s">
        <v>179</v>
      </c>
      <c r="V109" s="2" t="s">
        <v>180</v>
      </c>
      <c r="W109" s="2" t="s">
        <v>62</v>
      </c>
      <c r="Z109" s="2" t="s">
        <v>103</v>
      </c>
      <c r="AA109" s="2" t="s">
        <v>104</v>
      </c>
      <c r="AB109" s="2" t="s">
        <v>63</v>
      </c>
      <c r="AC109" s="2" t="s">
        <v>64</v>
      </c>
    </row>
    <row r="110" spans="1:29" x14ac:dyDescent="0.35">
      <c r="A110" t="s">
        <v>95</v>
      </c>
      <c r="B110" t="s">
        <v>83</v>
      </c>
      <c r="C110" t="s">
        <v>173</v>
      </c>
      <c r="D110" t="s">
        <v>15</v>
      </c>
      <c r="E110" t="s">
        <v>85</v>
      </c>
      <c r="F110" t="s">
        <v>85</v>
      </c>
      <c r="G110" s="2" t="s">
        <v>83</v>
      </c>
      <c r="H110">
        <f>VALUE(Tabla2[[#This Row],[CODIGO PDV]])</f>
        <v>424810</v>
      </c>
      <c r="I110" s="32" t="s">
        <v>174</v>
      </c>
      <c r="J110" s="2" t="s">
        <v>175</v>
      </c>
      <c r="K110" t="s">
        <v>176</v>
      </c>
      <c r="L110" t="s">
        <v>130</v>
      </c>
      <c r="M110" s="2" t="s">
        <v>75</v>
      </c>
      <c r="N110" t="s">
        <v>152</v>
      </c>
      <c r="O110" t="s">
        <v>128</v>
      </c>
      <c r="P110" s="2" t="s">
        <v>20</v>
      </c>
      <c r="Q110" t="s">
        <v>61</v>
      </c>
      <c r="R110" t="s">
        <v>61</v>
      </c>
      <c r="S110" s="79" t="s">
        <v>177</v>
      </c>
      <c r="T110" t="s">
        <v>178</v>
      </c>
      <c r="U110" t="s">
        <v>179</v>
      </c>
      <c r="V110" s="2" t="s">
        <v>180</v>
      </c>
      <c r="W110" s="2" t="s">
        <v>62</v>
      </c>
      <c r="Z110" s="2" t="s">
        <v>103</v>
      </c>
      <c r="AA110" s="2" t="s">
        <v>104</v>
      </c>
      <c r="AB110" s="2" t="s">
        <v>63</v>
      </c>
      <c r="AC110" s="2" t="s">
        <v>64</v>
      </c>
    </row>
    <row r="111" spans="1:29" x14ac:dyDescent="0.35">
      <c r="A111" t="s">
        <v>95</v>
      </c>
      <c r="B111" t="s">
        <v>83</v>
      </c>
      <c r="C111" t="s">
        <v>173</v>
      </c>
      <c r="D111" t="s">
        <v>15</v>
      </c>
      <c r="E111" t="s">
        <v>85</v>
      </c>
      <c r="F111" t="s">
        <v>85</v>
      </c>
      <c r="G111" s="2" t="s">
        <v>83</v>
      </c>
      <c r="H111">
        <f>VALUE(Tabla2[[#This Row],[CODIGO PDV]])</f>
        <v>424810</v>
      </c>
      <c r="I111" s="32" t="s">
        <v>174</v>
      </c>
      <c r="J111" s="2" t="s">
        <v>175</v>
      </c>
      <c r="K111" t="s">
        <v>176</v>
      </c>
      <c r="L111" t="s">
        <v>130</v>
      </c>
      <c r="M111" s="2" t="s">
        <v>75</v>
      </c>
      <c r="N111" t="s">
        <v>152</v>
      </c>
      <c r="O111" t="s">
        <v>115</v>
      </c>
      <c r="P111" s="2" t="s">
        <v>20</v>
      </c>
      <c r="Q111" t="s">
        <v>61</v>
      </c>
      <c r="R111" t="s">
        <v>61</v>
      </c>
      <c r="S111" s="79" t="s">
        <v>177</v>
      </c>
      <c r="T111" t="s">
        <v>178</v>
      </c>
      <c r="U111" t="s">
        <v>179</v>
      </c>
      <c r="V111" s="2" t="s">
        <v>180</v>
      </c>
      <c r="W111" s="2" t="s">
        <v>62</v>
      </c>
      <c r="Z111" s="2" t="s">
        <v>103</v>
      </c>
      <c r="AA111" s="2" t="s">
        <v>104</v>
      </c>
      <c r="AB111" s="2" t="s">
        <v>63</v>
      </c>
      <c r="AC111" s="2" t="s">
        <v>64</v>
      </c>
    </row>
    <row r="112" spans="1:29" x14ac:dyDescent="0.35">
      <c r="A112" t="s">
        <v>95</v>
      </c>
      <c r="B112" t="s">
        <v>83</v>
      </c>
      <c r="C112" t="s">
        <v>173</v>
      </c>
      <c r="D112" t="s">
        <v>15</v>
      </c>
      <c r="E112" t="s">
        <v>85</v>
      </c>
      <c r="F112" t="s">
        <v>85</v>
      </c>
      <c r="G112" s="2" t="s">
        <v>83</v>
      </c>
      <c r="H112">
        <f>VALUE(Tabla2[[#This Row],[CODIGO PDV]])</f>
        <v>424810</v>
      </c>
      <c r="I112" s="32" t="s">
        <v>174</v>
      </c>
      <c r="J112" s="2" t="s">
        <v>175</v>
      </c>
      <c r="K112" t="s">
        <v>176</v>
      </c>
      <c r="L112" t="s">
        <v>130</v>
      </c>
      <c r="M112" s="2" t="s">
        <v>75</v>
      </c>
      <c r="N112" t="s">
        <v>152</v>
      </c>
      <c r="O112" t="s">
        <v>116</v>
      </c>
      <c r="P112" s="2" t="s">
        <v>20</v>
      </c>
      <c r="Q112" t="s">
        <v>61</v>
      </c>
      <c r="R112" t="s">
        <v>61</v>
      </c>
      <c r="S112" s="79" t="s">
        <v>177</v>
      </c>
      <c r="T112" t="s">
        <v>178</v>
      </c>
      <c r="U112" t="s">
        <v>179</v>
      </c>
      <c r="V112" s="2" t="s">
        <v>180</v>
      </c>
      <c r="W112" s="2" t="s">
        <v>62</v>
      </c>
      <c r="Z112" s="2" t="s">
        <v>103</v>
      </c>
      <c r="AA112" s="2" t="s">
        <v>104</v>
      </c>
      <c r="AB112" s="2" t="s">
        <v>63</v>
      </c>
      <c r="AC112" s="2" t="s">
        <v>64</v>
      </c>
    </row>
    <row r="113" spans="1:29" x14ac:dyDescent="0.35">
      <c r="A113" t="s">
        <v>95</v>
      </c>
      <c r="B113" t="s">
        <v>83</v>
      </c>
      <c r="C113" t="s">
        <v>173</v>
      </c>
      <c r="D113" t="s">
        <v>15</v>
      </c>
      <c r="E113" t="s">
        <v>85</v>
      </c>
      <c r="F113" t="s">
        <v>85</v>
      </c>
      <c r="G113" s="2" t="s">
        <v>83</v>
      </c>
      <c r="H113">
        <f>VALUE(Tabla2[[#This Row],[CODIGO PDV]])</f>
        <v>424810</v>
      </c>
      <c r="I113" s="32" t="s">
        <v>174</v>
      </c>
      <c r="J113" s="2" t="s">
        <v>175</v>
      </c>
      <c r="K113" t="s">
        <v>176</v>
      </c>
      <c r="L113" t="s">
        <v>130</v>
      </c>
      <c r="M113" s="2" t="s">
        <v>75</v>
      </c>
      <c r="N113" t="s">
        <v>152</v>
      </c>
      <c r="O113" t="s">
        <v>117</v>
      </c>
      <c r="P113" s="2" t="s">
        <v>94</v>
      </c>
      <c r="Q113" t="s">
        <v>61</v>
      </c>
      <c r="R113" t="s">
        <v>61</v>
      </c>
      <c r="S113" s="79" t="s">
        <v>177</v>
      </c>
      <c r="T113" t="s">
        <v>178</v>
      </c>
      <c r="U113" t="s">
        <v>179</v>
      </c>
      <c r="V113" s="2" t="s">
        <v>180</v>
      </c>
      <c r="W113" s="2" t="s">
        <v>62</v>
      </c>
      <c r="Z113" s="2" t="s">
        <v>103</v>
      </c>
      <c r="AA113" s="2" t="s">
        <v>104</v>
      </c>
      <c r="AB113" s="2" t="s">
        <v>63</v>
      </c>
      <c r="AC113" s="2" t="s">
        <v>64</v>
      </c>
    </row>
    <row r="114" spans="1:29" x14ac:dyDescent="0.35">
      <c r="A114" t="s">
        <v>95</v>
      </c>
      <c r="B114" t="s">
        <v>83</v>
      </c>
      <c r="C114" t="s">
        <v>84</v>
      </c>
      <c r="D114" t="s">
        <v>14</v>
      </c>
      <c r="E114" t="s">
        <v>85</v>
      </c>
      <c r="F114" t="s">
        <v>85</v>
      </c>
      <c r="G114" s="2" t="s">
        <v>83</v>
      </c>
      <c r="H114">
        <f>VALUE(Tabla2[[#This Row],[CODIGO PDV]])</f>
        <v>421609</v>
      </c>
      <c r="I114" s="32" t="s">
        <v>148</v>
      </c>
      <c r="J114" s="2" t="s">
        <v>181</v>
      </c>
      <c r="K114" t="s">
        <v>96</v>
      </c>
      <c r="L114" t="s">
        <v>130</v>
      </c>
      <c r="M114" s="2" t="s">
        <v>75</v>
      </c>
      <c r="N114" t="s">
        <v>152</v>
      </c>
      <c r="O114" t="s">
        <v>109</v>
      </c>
      <c r="P114" s="2" t="s">
        <v>20</v>
      </c>
      <c r="Q114" t="s">
        <v>61</v>
      </c>
      <c r="R114" t="s">
        <v>61</v>
      </c>
      <c r="S114" s="79" t="s">
        <v>182</v>
      </c>
      <c r="T114" t="s">
        <v>183</v>
      </c>
      <c r="U114" t="s">
        <v>184</v>
      </c>
      <c r="V114" s="2" t="s">
        <v>185</v>
      </c>
      <c r="W114" s="2" t="s">
        <v>62</v>
      </c>
      <c r="Z114" s="2" t="s">
        <v>103</v>
      </c>
      <c r="AA114" s="2" t="s">
        <v>104</v>
      </c>
      <c r="AB114" s="2" t="s">
        <v>63</v>
      </c>
      <c r="AC114" s="2" t="s">
        <v>64</v>
      </c>
    </row>
    <row r="115" spans="1:29" x14ac:dyDescent="0.35">
      <c r="A115" t="s">
        <v>95</v>
      </c>
      <c r="B115" t="s">
        <v>83</v>
      </c>
      <c r="C115" t="s">
        <v>84</v>
      </c>
      <c r="D115" t="s">
        <v>14</v>
      </c>
      <c r="E115" t="s">
        <v>85</v>
      </c>
      <c r="F115" t="s">
        <v>85</v>
      </c>
      <c r="G115" s="2" t="s">
        <v>83</v>
      </c>
      <c r="H115">
        <f>VALUE(Tabla2[[#This Row],[CODIGO PDV]])</f>
        <v>421609</v>
      </c>
      <c r="I115" s="32" t="s">
        <v>148</v>
      </c>
      <c r="J115" s="2" t="s">
        <v>181</v>
      </c>
      <c r="K115" t="s">
        <v>96</v>
      </c>
      <c r="L115" t="s">
        <v>130</v>
      </c>
      <c r="M115" s="2" t="s">
        <v>75</v>
      </c>
      <c r="N115" t="s">
        <v>152</v>
      </c>
      <c r="O115" t="s">
        <v>86</v>
      </c>
      <c r="P115" s="2" t="s">
        <v>20</v>
      </c>
      <c r="Q115" t="s">
        <v>61</v>
      </c>
      <c r="R115" t="s">
        <v>61</v>
      </c>
      <c r="S115" s="79" t="s">
        <v>182</v>
      </c>
      <c r="T115" t="s">
        <v>183</v>
      </c>
      <c r="U115" t="s">
        <v>186</v>
      </c>
      <c r="V115" s="2" t="s">
        <v>185</v>
      </c>
      <c r="W115" s="2" t="s">
        <v>62</v>
      </c>
      <c r="Z115" s="2" t="s">
        <v>103</v>
      </c>
      <c r="AA115" s="2" t="s">
        <v>104</v>
      </c>
      <c r="AB115" s="2" t="s">
        <v>63</v>
      </c>
      <c r="AC115" s="2" t="s">
        <v>64</v>
      </c>
    </row>
    <row r="116" spans="1:29" x14ac:dyDescent="0.35">
      <c r="A116" t="s">
        <v>95</v>
      </c>
      <c r="B116" t="s">
        <v>83</v>
      </c>
      <c r="C116" t="s">
        <v>84</v>
      </c>
      <c r="D116" t="s">
        <v>14</v>
      </c>
      <c r="E116" t="s">
        <v>85</v>
      </c>
      <c r="F116" t="s">
        <v>85</v>
      </c>
      <c r="G116" s="2" t="s">
        <v>83</v>
      </c>
      <c r="H116">
        <f>VALUE(Tabla2[[#This Row],[CODIGO PDV]])</f>
        <v>421609</v>
      </c>
      <c r="I116" s="32" t="s">
        <v>148</v>
      </c>
      <c r="J116" s="2" t="s">
        <v>181</v>
      </c>
      <c r="K116" t="s">
        <v>96</v>
      </c>
      <c r="L116" t="s">
        <v>130</v>
      </c>
      <c r="M116" s="2" t="s">
        <v>75</v>
      </c>
      <c r="N116" t="s">
        <v>152</v>
      </c>
      <c r="O116" t="s">
        <v>87</v>
      </c>
      <c r="P116" s="2" t="s">
        <v>20</v>
      </c>
      <c r="Q116" t="s">
        <v>61</v>
      </c>
      <c r="R116" t="s">
        <v>61</v>
      </c>
      <c r="S116" s="79" t="s">
        <v>182</v>
      </c>
      <c r="T116" t="s">
        <v>183</v>
      </c>
      <c r="U116" t="s">
        <v>187</v>
      </c>
      <c r="V116" s="2" t="s">
        <v>185</v>
      </c>
      <c r="W116" s="2" t="s">
        <v>62</v>
      </c>
      <c r="Z116" s="2" t="s">
        <v>103</v>
      </c>
      <c r="AA116" s="2" t="s">
        <v>104</v>
      </c>
      <c r="AB116" s="2" t="s">
        <v>63</v>
      </c>
      <c r="AC116" s="2" t="s">
        <v>64</v>
      </c>
    </row>
    <row r="117" spans="1:29" x14ac:dyDescent="0.35">
      <c r="A117" t="s">
        <v>95</v>
      </c>
      <c r="B117" t="s">
        <v>83</v>
      </c>
      <c r="C117" t="s">
        <v>84</v>
      </c>
      <c r="D117" t="s">
        <v>14</v>
      </c>
      <c r="E117" t="s">
        <v>85</v>
      </c>
      <c r="F117" t="s">
        <v>85</v>
      </c>
      <c r="G117" s="2" t="s">
        <v>83</v>
      </c>
      <c r="H117">
        <f>VALUE(Tabla2[[#This Row],[CODIGO PDV]])</f>
        <v>421609</v>
      </c>
      <c r="I117" s="32" t="s">
        <v>148</v>
      </c>
      <c r="J117" s="2" t="s">
        <v>181</v>
      </c>
      <c r="K117" t="s">
        <v>96</v>
      </c>
      <c r="L117" t="s">
        <v>130</v>
      </c>
      <c r="M117" s="2" t="s">
        <v>75</v>
      </c>
      <c r="N117" t="s">
        <v>152</v>
      </c>
      <c r="O117" t="s">
        <v>110</v>
      </c>
      <c r="P117" s="2" t="s">
        <v>20</v>
      </c>
      <c r="Q117" t="s">
        <v>61</v>
      </c>
      <c r="R117" t="s">
        <v>61</v>
      </c>
      <c r="S117" s="79" t="s">
        <v>182</v>
      </c>
      <c r="T117" t="s">
        <v>183</v>
      </c>
      <c r="U117" t="s">
        <v>188</v>
      </c>
      <c r="V117" s="2" t="s">
        <v>185</v>
      </c>
      <c r="W117" s="2" t="s">
        <v>62</v>
      </c>
      <c r="Z117" s="2" t="s">
        <v>103</v>
      </c>
      <c r="AA117" s="2" t="s">
        <v>104</v>
      </c>
      <c r="AB117" s="2" t="s">
        <v>63</v>
      </c>
      <c r="AC117" s="2" t="s">
        <v>64</v>
      </c>
    </row>
    <row r="118" spans="1:29" x14ac:dyDescent="0.35">
      <c r="A118" t="s">
        <v>95</v>
      </c>
      <c r="B118" t="s">
        <v>83</v>
      </c>
      <c r="C118" t="s">
        <v>84</v>
      </c>
      <c r="D118" t="s">
        <v>14</v>
      </c>
      <c r="E118" t="s">
        <v>85</v>
      </c>
      <c r="F118" t="s">
        <v>85</v>
      </c>
      <c r="G118" s="2" t="s">
        <v>83</v>
      </c>
      <c r="H118">
        <f>VALUE(Tabla2[[#This Row],[CODIGO PDV]])</f>
        <v>421609</v>
      </c>
      <c r="I118" s="32" t="s">
        <v>148</v>
      </c>
      <c r="J118" s="2" t="s">
        <v>181</v>
      </c>
      <c r="K118" t="s">
        <v>96</v>
      </c>
      <c r="L118" t="s">
        <v>130</v>
      </c>
      <c r="M118" s="2" t="s">
        <v>75</v>
      </c>
      <c r="N118" t="s">
        <v>152</v>
      </c>
      <c r="O118" t="s">
        <v>35</v>
      </c>
      <c r="P118" s="2" t="s">
        <v>20</v>
      </c>
      <c r="Q118" t="s">
        <v>61</v>
      </c>
      <c r="R118" t="s">
        <v>61</v>
      </c>
      <c r="S118" s="79" t="s">
        <v>182</v>
      </c>
      <c r="T118" t="s">
        <v>183</v>
      </c>
      <c r="U118" t="s">
        <v>189</v>
      </c>
      <c r="V118" s="2" t="s">
        <v>185</v>
      </c>
      <c r="W118" s="2" t="s">
        <v>62</v>
      </c>
      <c r="Z118" s="2" t="s">
        <v>103</v>
      </c>
      <c r="AA118" s="2" t="s">
        <v>104</v>
      </c>
      <c r="AB118" s="2" t="s">
        <v>63</v>
      </c>
      <c r="AC118" s="2" t="s">
        <v>64</v>
      </c>
    </row>
    <row r="119" spans="1:29" x14ac:dyDescent="0.35">
      <c r="A119" t="s">
        <v>95</v>
      </c>
      <c r="B119" t="s">
        <v>83</v>
      </c>
      <c r="C119" t="s">
        <v>84</v>
      </c>
      <c r="D119" t="s">
        <v>14</v>
      </c>
      <c r="E119" t="s">
        <v>85</v>
      </c>
      <c r="F119" t="s">
        <v>85</v>
      </c>
      <c r="G119" s="2" t="s">
        <v>83</v>
      </c>
      <c r="H119">
        <f>VALUE(Tabla2[[#This Row],[CODIGO PDV]])</f>
        <v>421609</v>
      </c>
      <c r="I119" s="32" t="s">
        <v>148</v>
      </c>
      <c r="J119" s="2" t="s">
        <v>181</v>
      </c>
      <c r="K119" t="s">
        <v>96</v>
      </c>
      <c r="L119" t="s">
        <v>130</v>
      </c>
      <c r="M119" s="2" t="s">
        <v>75</v>
      </c>
      <c r="N119" t="s">
        <v>152</v>
      </c>
      <c r="O119" t="s">
        <v>111</v>
      </c>
      <c r="P119" s="2" t="s">
        <v>94</v>
      </c>
      <c r="Q119" t="s">
        <v>61</v>
      </c>
      <c r="R119" t="s">
        <v>61</v>
      </c>
      <c r="S119" s="79" t="s">
        <v>182</v>
      </c>
      <c r="T119" t="s">
        <v>183</v>
      </c>
      <c r="U119" t="s">
        <v>190</v>
      </c>
      <c r="V119" s="2" t="s">
        <v>185</v>
      </c>
      <c r="W119" s="2" t="s">
        <v>62</v>
      </c>
      <c r="Z119" s="2" t="s">
        <v>103</v>
      </c>
      <c r="AA119" s="2" t="s">
        <v>104</v>
      </c>
      <c r="AB119" s="2" t="s">
        <v>63</v>
      </c>
      <c r="AC119" s="2" t="s">
        <v>64</v>
      </c>
    </row>
    <row r="120" spans="1:29" x14ac:dyDescent="0.35">
      <c r="A120" t="s">
        <v>95</v>
      </c>
      <c r="B120" t="s">
        <v>83</v>
      </c>
      <c r="C120" t="s">
        <v>84</v>
      </c>
      <c r="D120" t="s">
        <v>14</v>
      </c>
      <c r="E120" t="s">
        <v>85</v>
      </c>
      <c r="F120" t="s">
        <v>85</v>
      </c>
      <c r="G120" s="2" t="s">
        <v>83</v>
      </c>
      <c r="H120">
        <f>VALUE(Tabla2[[#This Row],[CODIGO PDV]])</f>
        <v>421609</v>
      </c>
      <c r="I120" s="32" t="s">
        <v>148</v>
      </c>
      <c r="J120" s="2" t="s">
        <v>181</v>
      </c>
      <c r="K120" t="s">
        <v>96</v>
      </c>
      <c r="L120" t="s">
        <v>130</v>
      </c>
      <c r="M120" s="2" t="s">
        <v>75</v>
      </c>
      <c r="N120" t="s">
        <v>152</v>
      </c>
      <c r="O120" t="s">
        <v>88</v>
      </c>
      <c r="P120" s="2" t="s">
        <v>20</v>
      </c>
      <c r="Q120" t="s">
        <v>61</v>
      </c>
      <c r="R120" t="s">
        <v>61</v>
      </c>
      <c r="S120" s="79" t="s">
        <v>182</v>
      </c>
      <c r="T120" t="s">
        <v>183</v>
      </c>
      <c r="U120" t="s">
        <v>191</v>
      </c>
      <c r="V120" s="2" t="s">
        <v>185</v>
      </c>
      <c r="W120" s="2" t="s">
        <v>62</v>
      </c>
      <c r="Z120" s="2" t="s">
        <v>103</v>
      </c>
      <c r="AA120" s="2" t="s">
        <v>104</v>
      </c>
      <c r="AB120" s="2" t="s">
        <v>63</v>
      </c>
      <c r="AC120" s="2" t="s">
        <v>64</v>
      </c>
    </row>
    <row r="121" spans="1:29" x14ac:dyDescent="0.35">
      <c r="A121" t="s">
        <v>95</v>
      </c>
      <c r="B121" t="s">
        <v>83</v>
      </c>
      <c r="C121" t="s">
        <v>84</v>
      </c>
      <c r="D121" t="s">
        <v>14</v>
      </c>
      <c r="E121" t="s">
        <v>85</v>
      </c>
      <c r="F121" t="s">
        <v>85</v>
      </c>
      <c r="G121" s="2" t="s">
        <v>83</v>
      </c>
      <c r="H121">
        <f>VALUE(Tabla2[[#This Row],[CODIGO PDV]])</f>
        <v>421609</v>
      </c>
      <c r="I121" s="32" t="s">
        <v>148</v>
      </c>
      <c r="J121" s="2" t="s">
        <v>181</v>
      </c>
      <c r="K121" t="s">
        <v>96</v>
      </c>
      <c r="L121" t="s">
        <v>130</v>
      </c>
      <c r="M121" s="2" t="s">
        <v>75</v>
      </c>
      <c r="N121" t="s">
        <v>152</v>
      </c>
      <c r="O121" t="s">
        <v>89</v>
      </c>
      <c r="P121" s="2" t="s">
        <v>20</v>
      </c>
      <c r="Q121" t="s">
        <v>61</v>
      </c>
      <c r="R121" t="s">
        <v>61</v>
      </c>
      <c r="S121" s="79" t="s">
        <v>182</v>
      </c>
      <c r="T121" t="s">
        <v>183</v>
      </c>
      <c r="U121" t="s">
        <v>192</v>
      </c>
      <c r="V121" s="2" t="s">
        <v>185</v>
      </c>
      <c r="W121" s="2" t="s">
        <v>62</v>
      </c>
      <c r="Z121" s="2" t="s">
        <v>103</v>
      </c>
      <c r="AA121" s="2" t="s">
        <v>104</v>
      </c>
      <c r="AB121" s="2" t="s">
        <v>63</v>
      </c>
      <c r="AC121" s="2" t="s">
        <v>64</v>
      </c>
    </row>
    <row r="122" spans="1:29" x14ac:dyDescent="0.35">
      <c r="A122" t="s">
        <v>95</v>
      </c>
      <c r="B122" t="s">
        <v>83</v>
      </c>
      <c r="C122" t="s">
        <v>84</v>
      </c>
      <c r="D122" t="s">
        <v>14</v>
      </c>
      <c r="E122" t="s">
        <v>85</v>
      </c>
      <c r="F122" t="s">
        <v>85</v>
      </c>
      <c r="G122" s="2" t="s">
        <v>83</v>
      </c>
      <c r="H122">
        <f>VALUE(Tabla2[[#This Row],[CODIGO PDV]])</f>
        <v>421609</v>
      </c>
      <c r="I122" s="32" t="s">
        <v>148</v>
      </c>
      <c r="J122" s="2" t="s">
        <v>181</v>
      </c>
      <c r="K122" t="s">
        <v>96</v>
      </c>
      <c r="L122" t="s">
        <v>130</v>
      </c>
      <c r="M122" s="2" t="s">
        <v>75</v>
      </c>
      <c r="N122" t="s">
        <v>152</v>
      </c>
      <c r="O122" t="s">
        <v>90</v>
      </c>
      <c r="P122" s="2" t="s">
        <v>94</v>
      </c>
      <c r="Q122" t="s">
        <v>61</v>
      </c>
      <c r="R122" t="s">
        <v>61</v>
      </c>
      <c r="S122" s="79" t="s">
        <v>182</v>
      </c>
      <c r="T122" t="s">
        <v>183</v>
      </c>
      <c r="U122" t="s">
        <v>193</v>
      </c>
      <c r="V122" s="2" t="s">
        <v>185</v>
      </c>
      <c r="W122" s="2" t="s">
        <v>62</v>
      </c>
      <c r="Z122" s="2" t="s">
        <v>103</v>
      </c>
      <c r="AA122" s="2" t="s">
        <v>104</v>
      </c>
      <c r="AB122" s="2" t="s">
        <v>63</v>
      </c>
      <c r="AC122" s="2" t="s">
        <v>64</v>
      </c>
    </row>
    <row r="123" spans="1:29" x14ac:dyDescent="0.35">
      <c r="A123" t="s">
        <v>95</v>
      </c>
      <c r="B123" t="s">
        <v>83</v>
      </c>
      <c r="C123" t="s">
        <v>84</v>
      </c>
      <c r="D123" t="s">
        <v>14</v>
      </c>
      <c r="E123" t="s">
        <v>85</v>
      </c>
      <c r="F123" t="s">
        <v>85</v>
      </c>
      <c r="G123" s="2" t="s">
        <v>83</v>
      </c>
      <c r="H123">
        <f>VALUE(Tabla2[[#This Row],[CODIGO PDV]])</f>
        <v>421609</v>
      </c>
      <c r="I123" s="32" t="s">
        <v>148</v>
      </c>
      <c r="J123" s="2" t="s">
        <v>181</v>
      </c>
      <c r="K123" t="s">
        <v>96</v>
      </c>
      <c r="L123" t="s">
        <v>130</v>
      </c>
      <c r="M123" s="2" t="s">
        <v>75</v>
      </c>
      <c r="N123" t="s">
        <v>152</v>
      </c>
      <c r="O123" t="s">
        <v>91</v>
      </c>
      <c r="P123" s="2" t="s">
        <v>94</v>
      </c>
      <c r="Q123" t="s">
        <v>61</v>
      </c>
      <c r="R123" t="s">
        <v>61</v>
      </c>
      <c r="S123" s="79" t="s">
        <v>182</v>
      </c>
      <c r="T123" t="s">
        <v>183</v>
      </c>
      <c r="U123" t="s">
        <v>194</v>
      </c>
      <c r="V123" s="2" t="s">
        <v>185</v>
      </c>
      <c r="W123" s="2" t="s">
        <v>62</v>
      </c>
      <c r="Z123" s="2" t="s">
        <v>103</v>
      </c>
      <c r="AA123" s="2" t="s">
        <v>104</v>
      </c>
      <c r="AB123" s="2" t="s">
        <v>63</v>
      </c>
      <c r="AC123" s="2" t="s">
        <v>64</v>
      </c>
    </row>
    <row r="124" spans="1:29" x14ac:dyDescent="0.35">
      <c r="A124" t="s">
        <v>95</v>
      </c>
      <c r="B124" t="s">
        <v>83</v>
      </c>
      <c r="C124" t="s">
        <v>84</v>
      </c>
      <c r="D124" t="s">
        <v>14</v>
      </c>
      <c r="E124" t="s">
        <v>85</v>
      </c>
      <c r="F124" t="s">
        <v>85</v>
      </c>
      <c r="G124" s="2" t="s">
        <v>83</v>
      </c>
      <c r="H124">
        <f>VALUE(Tabla2[[#This Row],[CODIGO PDV]])</f>
        <v>421609</v>
      </c>
      <c r="I124" s="32" t="s">
        <v>148</v>
      </c>
      <c r="J124" s="2" t="s">
        <v>181</v>
      </c>
      <c r="K124" t="s">
        <v>96</v>
      </c>
      <c r="L124" t="s">
        <v>130</v>
      </c>
      <c r="M124" s="2" t="s">
        <v>75</v>
      </c>
      <c r="N124" t="s">
        <v>152</v>
      </c>
      <c r="O124" t="s">
        <v>92</v>
      </c>
      <c r="P124" s="2" t="s">
        <v>94</v>
      </c>
      <c r="Q124" t="s">
        <v>61</v>
      </c>
      <c r="R124" t="s">
        <v>61</v>
      </c>
      <c r="S124" s="79" t="s">
        <v>182</v>
      </c>
      <c r="T124" t="s">
        <v>183</v>
      </c>
      <c r="U124" t="s">
        <v>195</v>
      </c>
      <c r="V124" s="2" t="s">
        <v>185</v>
      </c>
      <c r="W124" s="2" t="s">
        <v>62</v>
      </c>
      <c r="Z124" s="2" t="s">
        <v>103</v>
      </c>
      <c r="AA124" s="2" t="s">
        <v>104</v>
      </c>
      <c r="AB124" s="2" t="s">
        <v>63</v>
      </c>
      <c r="AC124" s="2" t="s">
        <v>64</v>
      </c>
    </row>
    <row r="125" spans="1:29" x14ac:dyDescent="0.35">
      <c r="A125" t="s">
        <v>95</v>
      </c>
      <c r="B125" t="s">
        <v>83</v>
      </c>
      <c r="C125" t="s">
        <v>84</v>
      </c>
      <c r="D125" t="s">
        <v>14</v>
      </c>
      <c r="E125" t="s">
        <v>85</v>
      </c>
      <c r="F125" t="s">
        <v>85</v>
      </c>
      <c r="G125" s="2" t="s">
        <v>83</v>
      </c>
      <c r="H125">
        <f>VALUE(Tabla2[[#This Row],[CODIGO PDV]])</f>
        <v>421609</v>
      </c>
      <c r="I125" s="32" t="s">
        <v>148</v>
      </c>
      <c r="J125" s="2" t="s">
        <v>181</v>
      </c>
      <c r="K125" t="s">
        <v>96</v>
      </c>
      <c r="L125" t="s">
        <v>130</v>
      </c>
      <c r="M125" s="2" t="s">
        <v>75</v>
      </c>
      <c r="N125" t="s">
        <v>152</v>
      </c>
      <c r="O125" t="s">
        <v>93</v>
      </c>
      <c r="P125" s="2" t="s">
        <v>94</v>
      </c>
      <c r="Q125" t="s">
        <v>61</v>
      </c>
      <c r="R125" t="s">
        <v>61</v>
      </c>
      <c r="S125" s="79" t="s">
        <v>182</v>
      </c>
      <c r="T125" t="s">
        <v>183</v>
      </c>
      <c r="U125" t="s">
        <v>196</v>
      </c>
      <c r="V125" s="2" t="s">
        <v>185</v>
      </c>
      <c r="W125" s="2" t="s">
        <v>62</v>
      </c>
      <c r="Z125" s="2" t="s">
        <v>103</v>
      </c>
      <c r="AA125" s="2" t="s">
        <v>104</v>
      </c>
      <c r="AB125" s="2" t="s">
        <v>63</v>
      </c>
      <c r="AC125" s="2" t="s">
        <v>64</v>
      </c>
    </row>
    <row r="126" spans="1:29" x14ac:dyDescent="0.35">
      <c r="A126" t="s">
        <v>95</v>
      </c>
      <c r="B126" t="s">
        <v>83</v>
      </c>
      <c r="C126" t="s">
        <v>84</v>
      </c>
      <c r="D126" t="s">
        <v>14</v>
      </c>
      <c r="E126" t="s">
        <v>85</v>
      </c>
      <c r="F126" t="s">
        <v>85</v>
      </c>
      <c r="G126" s="2" t="s">
        <v>83</v>
      </c>
      <c r="H126">
        <f>VALUE(Tabla2[[#This Row],[CODIGO PDV]])</f>
        <v>421609</v>
      </c>
      <c r="I126" s="32" t="s">
        <v>148</v>
      </c>
      <c r="J126" s="2" t="s">
        <v>181</v>
      </c>
      <c r="K126" t="s">
        <v>96</v>
      </c>
      <c r="L126" t="s">
        <v>130</v>
      </c>
      <c r="M126" s="2" t="s">
        <v>75</v>
      </c>
      <c r="N126" t="s">
        <v>152</v>
      </c>
      <c r="O126" t="s">
        <v>129</v>
      </c>
      <c r="P126" s="2" t="s">
        <v>20</v>
      </c>
      <c r="Q126" t="s">
        <v>61</v>
      </c>
      <c r="R126" t="s">
        <v>61</v>
      </c>
      <c r="S126" s="79" t="s">
        <v>182</v>
      </c>
      <c r="T126" t="s">
        <v>183</v>
      </c>
      <c r="U126" t="s">
        <v>197</v>
      </c>
      <c r="V126" s="2" t="s">
        <v>185</v>
      </c>
      <c r="W126" s="2" t="s">
        <v>62</v>
      </c>
      <c r="Z126" s="2" t="s">
        <v>103</v>
      </c>
      <c r="AA126" s="2" t="s">
        <v>104</v>
      </c>
      <c r="AB126" s="2" t="s">
        <v>63</v>
      </c>
      <c r="AC126" s="2" t="s">
        <v>64</v>
      </c>
    </row>
    <row r="127" spans="1:29" x14ac:dyDescent="0.35">
      <c r="A127" t="s">
        <v>95</v>
      </c>
      <c r="B127" t="s">
        <v>83</v>
      </c>
      <c r="C127" t="s">
        <v>84</v>
      </c>
      <c r="D127" t="s">
        <v>14</v>
      </c>
      <c r="E127" t="s">
        <v>85</v>
      </c>
      <c r="F127" t="s">
        <v>85</v>
      </c>
      <c r="G127" s="2" t="s">
        <v>83</v>
      </c>
      <c r="H127">
        <f>VALUE(Tabla2[[#This Row],[CODIGO PDV]])</f>
        <v>421609</v>
      </c>
      <c r="I127" s="32" t="s">
        <v>148</v>
      </c>
      <c r="J127" s="2" t="s">
        <v>181</v>
      </c>
      <c r="K127" t="s">
        <v>96</v>
      </c>
      <c r="L127" t="s">
        <v>130</v>
      </c>
      <c r="M127" s="2" t="s">
        <v>75</v>
      </c>
      <c r="N127" t="s">
        <v>152</v>
      </c>
      <c r="O127" t="s">
        <v>121</v>
      </c>
      <c r="P127" s="2" t="s">
        <v>20</v>
      </c>
      <c r="Q127" t="s">
        <v>61</v>
      </c>
      <c r="R127" t="s">
        <v>61</v>
      </c>
      <c r="S127" s="79" t="s">
        <v>182</v>
      </c>
      <c r="T127" t="s">
        <v>183</v>
      </c>
      <c r="U127" t="s">
        <v>198</v>
      </c>
      <c r="V127" s="2" t="s">
        <v>185</v>
      </c>
      <c r="W127" s="2" t="s">
        <v>62</v>
      </c>
      <c r="Z127" s="2" t="s">
        <v>103</v>
      </c>
      <c r="AA127" s="2" t="s">
        <v>104</v>
      </c>
      <c r="AB127" s="2" t="s">
        <v>63</v>
      </c>
      <c r="AC127" s="2" t="s">
        <v>64</v>
      </c>
    </row>
    <row r="128" spans="1:29" x14ac:dyDescent="0.35">
      <c r="A128" t="s">
        <v>95</v>
      </c>
      <c r="B128" t="s">
        <v>83</v>
      </c>
      <c r="C128" t="s">
        <v>84</v>
      </c>
      <c r="D128" t="s">
        <v>14</v>
      </c>
      <c r="E128" t="s">
        <v>85</v>
      </c>
      <c r="F128" t="s">
        <v>85</v>
      </c>
      <c r="G128" s="2" t="s">
        <v>83</v>
      </c>
      <c r="H128">
        <f>VALUE(Tabla2[[#This Row],[CODIGO PDV]])</f>
        <v>421609</v>
      </c>
      <c r="I128" s="32" t="s">
        <v>148</v>
      </c>
      <c r="J128" s="2" t="s">
        <v>181</v>
      </c>
      <c r="K128" t="s">
        <v>96</v>
      </c>
      <c r="L128" t="s">
        <v>130</v>
      </c>
      <c r="M128" s="2" t="s">
        <v>75</v>
      </c>
      <c r="N128" t="s">
        <v>152</v>
      </c>
      <c r="O128" t="s">
        <v>131</v>
      </c>
      <c r="P128" s="2" t="s">
        <v>20</v>
      </c>
      <c r="Q128" t="s">
        <v>61</v>
      </c>
      <c r="R128" t="s">
        <v>61</v>
      </c>
      <c r="S128" s="79" t="s">
        <v>182</v>
      </c>
      <c r="T128" t="s">
        <v>183</v>
      </c>
      <c r="U128" t="s">
        <v>199</v>
      </c>
      <c r="V128" s="2" t="s">
        <v>185</v>
      </c>
      <c r="W128" s="2" t="s">
        <v>62</v>
      </c>
      <c r="Z128" s="2" t="s">
        <v>103</v>
      </c>
      <c r="AA128" s="2" t="s">
        <v>104</v>
      </c>
      <c r="AB128" s="2" t="s">
        <v>63</v>
      </c>
      <c r="AC128" s="2" t="s">
        <v>64</v>
      </c>
    </row>
    <row r="129" spans="1:29" x14ac:dyDescent="0.35">
      <c r="A129" t="s">
        <v>95</v>
      </c>
      <c r="B129" t="s">
        <v>83</v>
      </c>
      <c r="C129" t="s">
        <v>84</v>
      </c>
      <c r="D129" t="s">
        <v>14</v>
      </c>
      <c r="E129" t="s">
        <v>85</v>
      </c>
      <c r="F129" t="s">
        <v>85</v>
      </c>
      <c r="G129" s="2" t="s">
        <v>83</v>
      </c>
      <c r="H129">
        <f>VALUE(Tabla2[[#This Row],[CODIGO PDV]])</f>
        <v>421609</v>
      </c>
      <c r="I129" s="32" t="s">
        <v>148</v>
      </c>
      <c r="J129" s="2" t="s">
        <v>181</v>
      </c>
      <c r="K129" t="s">
        <v>96</v>
      </c>
      <c r="L129" t="s">
        <v>130</v>
      </c>
      <c r="M129" s="2" t="s">
        <v>75</v>
      </c>
      <c r="N129" t="s">
        <v>152</v>
      </c>
      <c r="O129" t="s">
        <v>132</v>
      </c>
      <c r="P129" s="2" t="s">
        <v>20</v>
      </c>
      <c r="Q129" t="s">
        <v>61</v>
      </c>
      <c r="R129" t="s">
        <v>61</v>
      </c>
      <c r="S129" s="79" t="s">
        <v>182</v>
      </c>
      <c r="T129" t="s">
        <v>183</v>
      </c>
      <c r="U129" t="s">
        <v>200</v>
      </c>
      <c r="V129" s="2" t="s">
        <v>185</v>
      </c>
      <c r="W129" s="2" t="s">
        <v>62</v>
      </c>
      <c r="Z129" s="2" t="s">
        <v>103</v>
      </c>
      <c r="AA129" s="2" t="s">
        <v>104</v>
      </c>
      <c r="AB129" s="2" t="s">
        <v>63</v>
      </c>
      <c r="AC129" s="2" t="s">
        <v>64</v>
      </c>
    </row>
    <row r="130" spans="1:29" x14ac:dyDescent="0.35">
      <c r="A130" t="s">
        <v>95</v>
      </c>
      <c r="B130" t="s">
        <v>83</v>
      </c>
      <c r="C130" t="s">
        <v>84</v>
      </c>
      <c r="D130" t="s">
        <v>14</v>
      </c>
      <c r="E130" t="s">
        <v>85</v>
      </c>
      <c r="F130" t="s">
        <v>85</v>
      </c>
      <c r="G130" s="2" t="s">
        <v>83</v>
      </c>
      <c r="H130">
        <f>VALUE(Tabla2[[#This Row],[CODIGO PDV]])</f>
        <v>421609</v>
      </c>
      <c r="I130" s="32" t="s">
        <v>148</v>
      </c>
      <c r="J130" s="2" t="s">
        <v>181</v>
      </c>
      <c r="K130" t="s">
        <v>96</v>
      </c>
      <c r="L130" t="s">
        <v>130</v>
      </c>
      <c r="M130" s="2" t="s">
        <v>75</v>
      </c>
      <c r="N130" t="s">
        <v>152</v>
      </c>
      <c r="O130" t="s">
        <v>133</v>
      </c>
      <c r="P130" s="2" t="s">
        <v>20</v>
      </c>
      <c r="Q130" t="s">
        <v>61</v>
      </c>
      <c r="R130" t="s">
        <v>61</v>
      </c>
      <c r="S130" s="79" t="s">
        <v>182</v>
      </c>
      <c r="T130" t="s">
        <v>183</v>
      </c>
      <c r="U130" t="s">
        <v>201</v>
      </c>
      <c r="V130" s="2" t="s">
        <v>185</v>
      </c>
      <c r="W130" s="2" t="s">
        <v>62</v>
      </c>
      <c r="Z130" s="2" t="s">
        <v>103</v>
      </c>
      <c r="AA130" s="2" t="s">
        <v>104</v>
      </c>
      <c r="AB130" s="2" t="s">
        <v>63</v>
      </c>
      <c r="AC130" s="2" t="s">
        <v>64</v>
      </c>
    </row>
    <row r="131" spans="1:29" x14ac:dyDescent="0.35">
      <c r="A131" t="s">
        <v>95</v>
      </c>
      <c r="B131" t="s">
        <v>83</v>
      </c>
      <c r="C131" t="s">
        <v>84</v>
      </c>
      <c r="D131" t="s">
        <v>14</v>
      </c>
      <c r="E131" t="s">
        <v>85</v>
      </c>
      <c r="F131" t="s">
        <v>85</v>
      </c>
      <c r="G131" s="2" t="s">
        <v>83</v>
      </c>
      <c r="H131">
        <f>VALUE(Tabla2[[#This Row],[CODIGO PDV]])</f>
        <v>421609</v>
      </c>
      <c r="I131" s="32" t="s">
        <v>148</v>
      </c>
      <c r="J131" s="2" t="s">
        <v>181</v>
      </c>
      <c r="K131" t="s">
        <v>96</v>
      </c>
      <c r="L131" t="s">
        <v>130</v>
      </c>
      <c r="M131" s="2" t="s">
        <v>75</v>
      </c>
      <c r="N131" t="s">
        <v>152</v>
      </c>
      <c r="O131" t="s">
        <v>134</v>
      </c>
      <c r="P131" s="2" t="s">
        <v>20</v>
      </c>
      <c r="Q131" t="s">
        <v>61</v>
      </c>
      <c r="R131" t="s">
        <v>61</v>
      </c>
      <c r="S131" s="79" t="s">
        <v>182</v>
      </c>
      <c r="T131" t="s">
        <v>183</v>
      </c>
      <c r="U131" t="s">
        <v>202</v>
      </c>
      <c r="V131" s="2" t="s">
        <v>185</v>
      </c>
      <c r="W131" s="2" t="s">
        <v>62</v>
      </c>
      <c r="Z131" s="2" t="s">
        <v>103</v>
      </c>
      <c r="AA131" s="2" t="s">
        <v>104</v>
      </c>
      <c r="AB131" s="2" t="s">
        <v>63</v>
      </c>
      <c r="AC131" s="2" t="s">
        <v>64</v>
      </c>
    </row>
    <row r="132" spans="1:29" x14ac:dyDescent="0.35">
      <c r="A132" t="s">
        <v>95</v>
      </c>
      <c r="B132" t="s">
        <v>83</v>
      </c>
      <c r="C132" t="s">
        <v>84</v>
      </c>
      <c r="D132" t="s">
        <v>14</v>
      </c>
      <c r="E132" t="s">
        <v>85</v>
      </c>
      <c r="F132" t="s">
        <v>85</v>
      </c>
      <c r="G132" s="2" t="s">
        <v>83</v>
      </c>
      <c r="H132">
        <f>VALUE(Tabla2[[#This Row],[CODIGO PDV]])</f>
        <v>421609</v>
      </c>
      <c r="I132" s="32" t="s">
        <v>148</v>
      </c>
      <c r="J132" s="2" t="s">
        <v>181</v>
      </c>
      <c r="K132" t="s">
        <v>96</v>
      </c>
      <c r="L132" t="s">
        <v>130</v>
      </c>
      <c r="M132" s="2" t="s">
        <v>75</v>
      </c>
      <c r="N132" t="s">
        <v>152</v>
      </c>
      <c r="O132" t="s">
        <v>144</v>
      </c>
      <c r="P132" s="2" t="s">
        <v>20</v>
      </c>
      <c r="Q132" t="s">
        <v>61</v>
      </c>
      <c r="R132" t="s">
        <v>61</v>
      </c>
      <c r="S132" s="79" t="s">
        <v>182</v>
      </c>
      <c r="T132" t="s">
        <v>183</v>
      </c>
      <c r="U132" t="s">
        <v>203</v>
      </c>
      <c r="V132" s="2" t="s">
        <v>185</v>
      </c>
      <c r="W132" s="2" t="s">
        <v>62</v>
      </c>
      <c r="Z132" s="2" t="s">
        <v>103</v>
      </c>
      <c r="AA132" s="2" t="s">
        <v>104</v>
      </c>
      <c r="AB132" s="2" t="s">
        <v>63</v>
      </c>
      <c r="AC132" s="2" t="s">
        <v>64</v>
      </c>
    </row>
    <row r="133" spans="1:29" x14ac:dyDescent="0.35">
      <c r="A133" t="s">
        <v>95</v>
      </c>
      <c r="B133" t="s">
        <v>83</v>
      </c>
      <c r="C133" t="s">
        <v>84</v>
      </c>
      <c r="D133" t="s">
        <v>14</v>
      </c>
      <c r="E133" t="s">
        <v>85</v>
      </c>
      <c r="F133" t="s">
        <v>85</v>
      </c>
      <c r="G133" s="2" t="s">
        <v>83</v>
      </c>
      <c r="H133">
        <f>VALUE(Tabla2[[#This Row],[CODIGO PDV]])</f>
        <v>421609</v>
      </c>
      <c r="I133" s="32" t="s">
        <v>148</v>
      </c>
      <c r="J133" s="2" t="s">
        <v>181</v>
      </c>
      <c r="K133" t="s">
        <v>96</v>
      </c>
      <c r="L133" t="s">
        <v>130</v>
      </c>
      <c r="M133" s="2" t="s">
        <v>75</v>
      </c>
      <c r="N133" t="s">
        <v>152</v>
      </c>
      <c r="O133" t="s">
        <v>145</v>
      </c>
      <c r="P133" s="2" t="s">
        <v>20</v>
      </c>
      <c r="Q133" t="s">
        <v>61</v>
      </c>
      <c r="R133" t="s">
        <v>61</v>
      </c>
      <c r="S133" s="79" t="s">
        <v>182</v>
      </c>
      <c r="T133" t="s">
        <v>183</v>
      </c>
      <c r="U133" t="s">
        <v>204</v>
      </c>
      <c r="V133" s="2" t="s">
        <v>185</v>
      </c>
      <c r="W133" s="2" t="s">
        <v>62</v>
      </c>
      <c r="Z133" s="2" t="s">
        <v>103</v>
      </c>
      <c r="AA133" s="2" t="s">
        <v>104</v>
      </c>
      <c r="AB133" s="2" t="s">
        <v>63</v>
      </c>
      <c r="AC133" s="2" t="s">
        <v>64</v>
      </c>
    </row>
    <row r="134" spans="1:29" x14ac:dyDescent="0.35">
      <c r="A134" t="s">
        <v>95</v>
      </c>
      <c r="B134" t="s">
        <v>83</v>
      </c>
      <c r="C134" t="s">
        <v>84</v>
      </c>
      <c r="D134" t="s">
        <v>14</v>
      </c>
      <c r="E134" t="s">
        <v>85</v>
      </c>
      <c r="F134" t="s">
        <v>85</v>
      </c>
      <c r="G134" s="2" t="s">
        <v>83</v>
      </c>
      <c r="H134">
        <f>VALUE(Tabla2[[#This Row],[CODIGO PDV]])</f>
        <v>421609</v>
      </c>
      <c r="I134" s="32" t="s">
        <v>148</v>
      </c>
      <c r="J134" s="2" t="s">
        <v>181</v>
      </c>
      <c r="K134" t="s">
        <v>96</v>
      </c>
      <c r="L134" t="s">
        <v>130</v>
      </c>
      <c r="M134" s="2" t="s">
        <v>75</v>
      </c>
      <c r="N134" t="s">
        <v>152</v>
      </c>
      <c r="O134" t="s">
        <v>135</v>
      </c>
      <c r="P134" s="2" t="s">
        <v>20</v>
      </c>
      <c r="Q134" t="s">
        <v>61</v>
      </c>
      <c r="R134" t="s">
        <v>61</v>
      </c>
      <c r="S134" s="79" t="s">
        <v>182</v>
      </c>
      <c r="T134" t="s">
        <v>183</v>
      </c>
      <c r="U134" t="s">
        <v>205</v>
      </c>
      <c r="V134" s="2" t="s">
        <v>185</v>
      </c>
      <c r="W134" s="2" t="s">
        <v>62</v>
      </c>
      <c r="Z134" s="2" t="s">
        <v>103</v>
      </c>
      <c r="AA134" s="2" t="s">
        <v>104</v>
      </c>
      <c r="AB134" s="2" t="s">
        <v>63</v>
      </c>
      <c r="AC134" s="2" t="s">
        <v>64</v>
      </c>
    </row>
    <row r="135" spans="1:29" x14ac:dyDescent="0.35">
      <c r="A135" t="s">
        <v>95</v>
      </c>
      <c r="B135" t="s">
        <v>83</v>
      </c>
      <c r="C135" t="s">
        <v>84</v>
      </c>
      <c r="D135" t="s">
        <v>14</v>
      </c>
      <c r="E135" t="s">
        <v>85</v>
      </c>
      <c r="F135" t="s">
        <v>85</v>
      </c>
      <c r="G135" s="2" t="s">
        <v>83</v>
      </c>
      <c r="H135">
        <f>VALUE(Tabla2[[#This Row],[CODIGO PDV]])</f>
        <v>421609</v>
      </c>
      <c r="I135" s="32" t="s">
        <v>148</v>
      </c>
      <c r="J135" s="2" t="s">
        <v>181</v>
      </c>
      <c r="K135" t="s">
        <v>96</v>
      </c>
      <c r="L135" t="s">
        <v>130</v>
      </c>
      <c r="M135" s="2" t="s">
        <v>75</v>
      </c>
      <c r="N135" t="s">
        <v>152</v>
      </c>
      <c r="O135" t="s">
        <v>112</v>
      </c>
      <c r="P135" s="2" t="s">
        <v>14</v>
      </c>
      <c r="Q135" t="s">
        <v>61</v>
      </c>
      <c r="R135" t="s">
        <v>61</v>
      </c>
      <c r="S135" s="79" t="s">
        <v>182</v>
      </c>
      <c r="T135" t="s">
        <v>183</v>
      </c>
      <c r="U135" t="s">
        <v>206</v>
      </c>
      <c r="V135" s="2" t="s">
        <v>185</v>
      </c>
      <c r="W135" s="2" t="s">
        <v>62</v>
      </c>
      <c r="Z135" s="2" t="s">
        <v>103</v>
      </c>
      <c r="AA135" s="2" t="s">
        <v>104</v>
      </c>
      <c r="AB135" s="2" t="s">
        <v>63</v>
      </c>
      <c r="AC135" s="2" t="s">
        <v>64</v>
      </c>
    </row>
    <row r="136" spans="1:29" x14ac:dyDescent="0.35">
      <c r="A136" t="s">
        <v>95</v>
      </c>
      <c r="B136" t="s">
        <v>83</v>
      </c>
      <c r="C136" t="s">
        <v>84</v>
      </c>
      <c r="D136" t="s">
        <v>14</v>
      </c>
      <c r="E136" t="s">
        <v>85</v>
      </c>
      <c r="F136" t="s">
        <v>85</v>
      </c>
      <c r="G136" s="2" t="s">
        <v>83</v>
      </c>
      <c r="H136">
        <f>VALUE(Tabla2[[#This Row],[CODIGO PDV]])</f>
        <v>421609</v>
      </c>
      <c r="I136" s="32" t="s">
        <v>148</v>
      </c>
      <c r="J136" s="2" t="s">
        <v>181</v>
      </c>
      <c r="K136" t="s">
        <v>96</v>
      </c>
      <c r="L136" t="s">
        <v>130</v>
      </c>
      <c r="M136" s="2" t="s">
        <v>75</v>
      </c>
      <c r="N136" t="s">
        <v>152</v>
      </c>
      <c r="O136" t="s">
        <v>136</v>
      </c>
      <c r="P136" s="2" t="s">
        <v>20</v>
      </c>
      <c r="Q136" t="s">
        <v>61</v>
      </c>
      <c r="R136" t="s">
        <v>61</v>
      </c>
      <c r="S136" s="79" t="s">
        <v>182</v>
      </c>
      <c r="T136" t="s">
        <v>183</v>
      </c>
      <c r="U136" t="s">
        <v>207</v>
      </c>
      <c r="V136" s="2" t="s">
        <v>185</v>
      </c>
      <c r="W136" s="2" t="s">
        <v>62</v>
      </c>
      <c r="Z136" s="2" t="s">
        <v>103</v>
      </c>
      <c r="AA136" s="2" t="s">
        <v>104</v>
      </c>
      <c r="AB136" s="2" t="s">
        <v>63</v>
      </c>
      <c r="AC136" s="2" t="s">
        <v>64</v>
      </c>
    </row>
    <row r="137" spans="1:29" x14ac:dyDescent="0.35">
      <c r="A137" t="s">
        <v>95</v>
      </c>
      <c r="B137" t="s">
        <v>83</v>
      </c>
      <c r="C137" t="s">
        <v>84</v>
      </c>
      <c r="D137" t="s">
        <v>14</v>
      </c>
      <c r="E137" t="s">
        <v>85</v>
      </c>
      <c r="F137" t="s">
        <v>85</v>
      </c>
      <c r="G137" s="2" t="s">
        <v>83</v>
      </c>
      <c r="H137">
        <f>VALUE(Tabla2[[#This Row],[CODIGO PDV]])</f>
        <v>421609</v>
      </c>
      <c r="I137" s="32" t="s">
        <v>148</v>
      </c>
      <c r="J137" s="2" t="s">
        <v>181</v>
      </c>
      <c r="K137" t="s">
        <v>96</v>
      </c>
      <c r="L137" t="s">
        <v>130</v>
      </c>
      <c r="M137" s="2" t="s">
        <v>75</v>
      </c>
      <c r="N137" t="s">
        <v>152</v>
      </c>
      <c r="O137" t="s">
        <v>137</v>
      </c>
      <c r="P137" s="2" t="s">
        <v>20</v>
      </c>
      <c r="Q137" t="s">
        <v>61</v>
      </c>
      <c r="R137" t="s">
        <v>61</v>
      </c>
      <c r="S137" s="79" t="s">
        <v>182</v>
      </c>
      <c r="T137" t="s">
        <v>183</v>
      </c>
      <c r="U137" t="s">
        <v>208</v>
      </c>
      <c r="V137" s="2" t="s">
        <v>185</v>
      </c>
      <c r="W137" s="2" t="s">
        <v>62</v>
      </c>
      <c r="Z137" s="2" t="s">
        <v>103</v>
      </c>
      <c r="AA137" s="2" t="s">
        <v>104</v>
      </c>
      <c r="AB137" s="2" t="s">
        <v>63</v>
      </c>
      <c r="AC137" s="2" t="s">
        <v>64</v>
      </c>
    </row>
    <row r="138" spans="1:29" x14ac:dyDescent="0.35">
      <c r="A138" t="s">
        <v>95</v>
      </c>
      <c r="B138" t="s">
        <v>83</v>
      </c>
      <c r="C138" t="s">
        <v>84</v>
      </c>
      <c r="D138" t="s">
        <v>14</v>
      </c>
      <c r="E138" t="s">
        <v>85</v>
      </c>
      <c r="F138" t="s">
        <v>85</v>
      </c>
      <c r="G138" s="2" t="s">
        <v>83</v>
      </c>
      <c r="H138">
        <f>VALUE(Tabla2[[#This Row],[CODIGO PDV]])</f>
        <v>421609</v>
      </c>
      <c r="I138" s="32" t="s">
        <v>148</v>
      </c>
      <c r="J138" s="2" t="s">
        <v>181</v>
      </c>
      <c r="K138" t="s">
        <v>96</v>
      </c>
      <c r="L138" t="s">
        <v>130</v>
      </c>
      <c r="M138" s="2" t="s">
        <v>75</v>
      </c>
      <c r="N138" t="s">
        <v>152</v>
      </c>
      <c r="O138" t="s">
        <v>138</v>
      </c>
      <c r="P138" s="2" t="s">
        <v>20</v>
      </c>
      <c r="Q138" t="s">
        <v>61</v>
      </c>
      <c r="R138" t="s">
        <v>61</v>
      </c>
      <c r="S138" s="79" t="s">
        <v>182</v>
      </c>
      <c r="T138" t="s">
        <v>183</v>
      </c>
      <c r="U138" t="s">
        <v>209</v>
      </c>
      <c r="V138" s="2" t="s">
        <v>185</v>
      </c>
      <c r="W138" s="2" t="s">
        <v>62</v>
      </c>
      <c r="Z138" s="2" t="s">
        <v>103</v>
      </c>
      <c r="AA138" s="2" t="s">
        <v>104</v>
      </c>
      <c r="AB138" s="2" t="s">
        <v>63</v>
      </c>
      <c r="AC138" s="2" t="s">
        <v>64</v>
      </c>
    </row>
    <row r="139" spans="1:29" x14ac:dyDescent="0.35">
      <c r="A139" t="s">
        <v>95</v>
      </c>
      <c r="B139" t="s">
        <v>83</v>
      </c>
      <c r="C139" t="s">
        <v>84</v>
      </c>
      <c r="D139" t="s">
        <v>14</v>
      </c>
      <c r="E139" t="s">
        <v>85</v>
      </c>
      <c r="F139" t="s">
        <v>85</v>
      </c>
      <c r="G139" s="2" t="s">
        <v>83</v>
      </c>
      <c r="H139">
        <f>VALUE(Tabla2[[#This Row],[CODIGO PDV]])</f>
        <v>421609</v>
      </c>
      <c r="I139" s="32" t="s">
        <v>148</v>
      </c>
      <c r="J139" s="2" t="s">
        <v>181</v>
      </c>
      <c r="K139" t="s">
        <v>96</v>
      </c>
      <c r="L139" t="s">
        <v>130</v>
      </c>
      <c r="M139" s="2" t="s">
        <v>75</v>
      </c>
      <c r="N139" t="s">
        <v>152</v>
      </c>
      <c r="O139" t="s">
        <v>139</v>
      </c>
      <c r="P139" s="2" t="s">
        <v>20</v>
      </c>
      <c r="Q139" t="s">
        <v>61</v>
      </c>
      <c r="R139" t="s">
        <v>61</v>
      </c>
      <c r="S139" s="79" t="s">
        <v>182</v>
      </c>
      <c r="T139" t="s">
        <v>183</v>
      </c>
      <c r="U139" t="s">
        <v>210</v>
      </c>
      <c r="V139" s="2" t="s">
        <v>185</v>
      </c>
      <c r="W139" s="2" t="s">
        <v>62</v>
      </c>
      <c r="Z139" s="2" t="s">
        <v>103</v>
      </c>
      <c r="AA139" s="2" t="s">
        <v>104</v>
      </c>
      <c r="AB139" s="2" t="s">
        <v>63</v>
      </c>
      <c r="AC139" s="2" t="s">
        <v>64</v>
      </c>
    </row>
    <row r="140" spans="1:29" x14ac:dyDescent="0.35">
      <c r="A140" t="s">
        <v>95</v>
      </c>
      <c r="B140" t="s">
        <v>83</v>
      </c>
      <c r="C140" t="s">
        <v>84</v>
      </c>
      <c r="D140" t="s">
        <v>14</v>
      </c>
      <c r="E140" t="s">
        <v>85</v>
      </c>
      <c r="F140" t="s">
        <v>85</v>
      </c>
      <c r="G140" s="2" t="s">
        <v>83</v>
      </c>
      <c r="H140">
        <f>VALUE(Tabla2[[#This Row],[CODIGO PDV]])</f>
        <v>421609</v>
      </c>
      <c r="I140" s="32" t="s">
        <v>148</v>
      </c>
      <c r="J140" s="2" t="s">
        <v>181</v>
      </c>
      <c r="K140" t="s">
        <v>96</v>
      </c>
      <c r="L140" t="s">
        <v>130</v>
      </c>
      <c r="M140" s="2" t="s">
        <v>75</v>
      </c>
      <c r="N140" t="s">
        <v>152</v>
      </c>
      <c r="O140" t="s">
        <v>140</v>
      </c>
      <c r="P140" s="2" t="s">
        <v>20</v>
      </c>
      <c r="Q140" t="s">
        <v>61</v>
      </c>
      <c r="R140" t="s">
        <v>61</v>
      </c>
      <c r="S140" s="79" t="s">
        <v>182</v>
      </c>
      <c r="T140" t="s">
        <v>183</v>
      </c>
      <c r="U140" t="s">
        <v>211</v>
      </c>
      <c r="V140" s="2" t="s">
        <v>185</v>
      </c>
      <c r="W140" s="2" t="s">
        <v>62</v>
      </c>
      <c r="Z140" s="2" t="s">
        <v>103</v>
      </c>
      <c r="AA140" s="2" t="s">
        <v>104</v>
      </c>
      <c r="AB140" s="2" t="s">
        <v>63</v>
      </c>
      <c r="AC140" s="2" t="s">
        <v>64</v>
      </c>
    </row>
    <row r="141" spans="1:29" x14ac:dyDescent="0.35">
      <c r="A141" t="s">
        <v>95</v>
      </c>
      <c r="B141" t="s">
        <v>83</v>
      </c>
      <c r="C141" t="s">
        <v>84</v>
      </c>
      <c r="D141" t="s">
        <v>14</v>
      </c>
      <c r="E141" t="s">
        <v>85</v>
      </c>
      <c r="F141" t="s">
        <v>85</v>
      </c>
      <c r="G141" s="2" t="s">
        <v>83</v>
      </c>
      <c r="H141">
        <f>VALUE(Tabla2[[#This Row],[CODIGO PDV]])</f>
        <v>421609</v>
      </c>
      <c r="I141" s="32" t="s">
        <v>148</v>
      </c>
      <c r="J141" s="2" t="s">
        <v>181</v>
      </c>
      <c r="K141" t="s">
        <v>96</v>
      </c>
      <c r="L141" t="s">
        <v>130</v>
      </c>
      <c r="M141" s="2" t="s">
        <v>75</v>
      </c>
      <c r="N141" t="s">
        <v>152</v>
      </c>
      <c r="O141" t="s">
        <v>141</v>
      </c>
      <c r="P141" s="2" t="s">
        <v>20</v>
      </c>
      <c r="Q141" t="s">
        <v>61</v>
      </c>
      <c r="R141" t="s">
        <v>61</v>
      </c>
      <c r="S141" s="79" t="s">
        <v>182</v>
      </c>
      <c r="T141" t="s">
        <v>183</v>
      </c>
      <c r="U141" t="s">
        <v>212</v>
      </c>
      <c r="V141" s="2" t="s">
        <v>185</v>
      </c>
      <c r="W141" s="2" t="s">
        <v>62</v>
      </c>
      <c r="Z141" s="2" t="s">
        <v>103</v>
      </c>
      <c r="AA141" s="2" t="s">
        <v>104</v>
      </c>
      <c r="AB141" s="2" t="s">
        <v>63</v>
      </c>
      <c r="AC141" s="2" t="s">
        <v>64</v>
      </c>
    </row>
    <row r="142" spans="1:29" x14ac:dyDescent="0.35">
      <c r="A142" t="s">
        <v>95</v>
      </c>
      <c r="B142" t="s">
        <v>83</v>
      </c>
      <c r="C142" t="s">
        <v>84</v>
      </c>
      <c r="D142" t="s">
        <v>14</v>
      </c>
      <c r="E142" t="s">
        <v>85</v>
      </c>
      <c r="F142" t="s">
        <v>85</v>
      </c>
      <c r="G142" s="2" t="s">
        <v>83</v>
      </c>
      <c r="H142">
        <f>VALUE(Tabla2[[#This Row],[CODIGO PDV]])</f>
        <v>421609</v>
      </c>
      <c r="I142" s="32" t="s">
        <v>148</v>
      </c>
      <c r="J142" s="2" t="s">
        <v>181</v>
      </c>
      <c r="K142" t="s">
        <v>96</v>
      </c>
      <c r="L142" t="s">
        <v>130</v>
      </c>
      <c r="M142" s="2" t="s">
        <v>75</v>
      </c>
      <c r="N142" t="s">
        <v>152</v>
      </c>
      <c r="O142" t="s">
        <v>113</v>
      </c>
      <c r="P142" s="2" t="s">
        <v>119</v>
      </c>
      <c r="Q142" t="s">
        <v>61</v>
      </c>
      <c r="R142" t="s">
        <v>61</v>
      </c>
      <c r="S142" s="79" t="s">
        <v>182</v>
      </c>
      <c r="T142" t="s">
        <v>183</v>
      </c>
      <c r="U142" t="s">
        <v>213</v>
      </c>
      <c r="V142" s="2" t="s">
        <v>185</v>
      </c>
      <c r="W142" s="2" t="s">
        <v>62</v>
      </c>
      <c r="Z142" s="2" t="s">
        <v>103</v>
      </c>
      <c r="AA142" s="2" t="s">
        <v>104</v>
      </c>
      <c r="AB142" s="2" t="s">
        <v>63</v>
      </c>
      <c r="AC142" s="2" t="s">
        <v>64</v>
      </c>
    </row>
    <row r="143" spans="1:29" x14ac:dyDescent="0.35">
      <c r="A143" t="s">
        <v>95</v>
      </c>
      <c r="B143" t="s">
        <v>83</v>
      </c>
      <c r="C143" t="s">
        <v>84</v>
      </c>
      <c r="D143" t="s">
        <v>14</v>
      </c>
      <c r="E143" t="s">
        <v>85</v>
      </c>
      <c r="F143" t="s">
        <v>85</v>
      </c>
      <c r="G143" s="2" t="s">
        <v>83</v>
      </c>
      <c r="H143">
        <f>VALUE(Tabla2[[#This Row],[CODIGO PDV]])</f>
        <v>421609</v>
      </c>
      <c r="I143" s="32" t="s">
        <v>148</v>
      </c>
      <c r="J143" s="2" t="s">
        <v>181</v>
      </c>
      <c r="K143" t="s">
        <v>96</v>
      </c>
      <c r="L143" t="s">
        <v>130</v>
      </c>
      <c r="M143" s="2" t="s">
        <v>75</v>
      </c>
      <c r="N143" t="s">
        <v>152</v>
      </c>
      <c r="O143" t="s">
        <v>114</v>
      </c>
      <c r="P143" s="2" t="s">
        <v>20</v>
      </c>
      <c r="Q143" t="s">
        <v>61</v>
      </c>
      <c r="R143" t="s">
        <v>61</v>
      </c>
      <c r="S143" s="79" t="s">
        <v>182</v>
      </c>
      <c r="T143" t="s">
        <v>183</v>
      </c>
      <c r="U143" t="s">
        <v>214</v>
      </c>
      <c r="V143" s="2" t="s">
        <v>185</v>
      </c>
      <c r="W143" s="2" t="s">
        <v>62</v>
      </c>
      <c r="Z143" s="2" t="s">
        <v>103</v>
      </c>
      <c r="AA143" s="2" t="s">
        <v>104</v>
      </c>
      <c r="AB143" s="2" t="s">
        <v>63</v>
      </c>
      <c r="AC143" s="2" t="s">
        <v>64</v>
      </c>
    </row>
    <row r="144" spans="1:29" x14ac:dyDescent="0.35">
      <c r="A144" t="s">
        <v>95</v>
      </c>
      <c r="B144" t="s">
        <v>83</v>
      </c>
      <c r="C144" t="s">
        <v>84</v>
      </c>
      <c r="D144" t="s">
        <v>14</v>
      </c>
      <c r="E144" t="s">
        <v>85</v>
      </c>
      <c r="F144" t="s">
        <v>85</v>
      </c>
      <c r="G144" s="2" t="s">
        <v>83</v>
      </c>
      <c r="H144">
        <f>VALUE(Tabla2[[#This Row],[CODIGO PDV]])</f>
        <v>421609</v>
      </c>
      <c r="I144" s="32" t="s">
        <v>148</v>
      </c>
      <c r="J144" s="2" t="s">
        <v>181</v>
      </c>
      <c r="K144" t="s">
        <v>96</v>
      </c>
      <c r="L144" t="s">
        <v>130</v>
      </c>
      <c r="M144" s="2" t="s">
        <v>75</v>
      </c>
      <c r="N144" t="s">
        <v>152</v>
      </c>
      <c r="O144" t="s">
        <v>128</v>
      </c>
      <c r="P144" s="2" t="s">
        <v>20</v>
      </c>
      <c r="Q144" t="s">
        <v>61</v>
      </c>
      <c r="R144" t="s">
        <v>61</v>
      </c>
      <c r="S144" s="79" t="s">
        <v>182</v>
      </c>
      <c r="T144" t="s">
        <v>183</v>
      </c>
      <c r="U144" t="s">
        <v>215</v>
      </c>
      <c r="V144" s="2" t="s">
        <v>185</v>
      </c>
      <c r="W144" s="2" t="s">
        <v>62</v>
      </c>
      <c r="Z144" s="2" t="s">
        <v>103</v>
      </c>
      <c r="AA144" s="2" t="s">
        <v>104</v>
      </c>
      <c r="AB144" s="2" t="s">
        <v>63</v>
      </c>
      <c r="AC144" s="2" t="s">
        <v>64</v>
      </c>
    </row>
    <row r="145" spans="1:29" x14ac:dyDescent="0.35">
      <c r="A145" t="s">
        <v>95</v>
      </c>
      <c r="B145" t="s">
        <v>83</v>
      </c>
      <c r="C145" t="s">
        <v>84</v>
      </c>
      <c r="D145" t="s">
        <v>14</v>
      </c>
      <c r="E145" t="s">
        <v>85</v>
      </c>
      <c r="F145" t="s">
        <v>85</v>
      </c>
      <c r="G145" s="2" t="s">
        <v>83</v>
      </c>
      <c r="H145">
        <f>VALUE(Tabla2[[#This Row],[CODIGO PDV]])</f>
        <v>421609</v>
      </c>
      <c r="I145" s="32" t="s">
        <v>148</v>
      </c>
      <c r="J145" s="2" t="s">
        <v>181</v>
      </c>
      <c r="K145" t="s">
        <v>96</v>
      </c>
      <c r="L145" t="s">
        <v>130</v>
      </c>
      <c r="M145" s="2" t="s">
        <v>75</v>
      </c>
      <c r="N145" t="s">
        <v>152</v>
      </c>
      <c r="O145" t="s">
        <v>115</v>
      </c>
      <c r="P145" s="2" t="s">
        <v>20</v>
      </c>
      <c r="Q145" t="s">
        <v>61</v>
      </c>
      <c r="R145" t="s">
        <v>61</v>
      </c>
      <c r="S145" s="79" t="s">
        <v>182</v>
      </c>
      <c r="T145" t="s">
        <v>183</v>
      </c>
      <c r="U145" t="s">
        <v>216</v>
      </c>
      <c r="V145" s="2" t="s">
        <v>185</v>
      </c>
      <c r="W145" s="2" t="s">
        <v>62</v>
      </c>
      <c r="Z145" s="2" t="s">
        <v>103</v>
      </c>
      <c r="AA145" s="2" t="s">
        <v>104</v>
      </c>
      <c r="AB145" s="2" t="s">
        <v>63</v>
      </c>
      <c r="AC145" s="2" t="s">
        <v>64</v>
      </c>
    </row>
    <row r="146" spans="1:29" x14ac:dyDescent="0.35">
      <c r="A146" t="s">
        <v>95</v>
      </c>
      <c r="B146" t="s">
        <v>83</v>
      </c>
      <c r="C146" t="s">
        <v>84</v>
      </c>
      <c r="D146" t="s">
        <v>14</v>
      </c>
      <c r="E146" t="s">
        <v>85</v>
      </c>
      <c r="F146" t="s">
        <v>85</v>
      </c>
      <c r="G146" s="2" t="s">
        <v>83</v>
      </c>
      <c r="H146">
        <f>VALUE(Tabla2[[#This Row],[CODIGO PDV]])</f>
        <v>421609</v>
      </c>
      <c r="I146" s="32" t="s">
        <v>148</v>
      </c>
      <c r="J146" s="2" t="s">
        <v>181</v>
      </c>
      <c r="K146" t="s">
        <v>96</v>
      </c>
      <c r="L146" t="s">
        <v>130</v>
      </c>
      <c r="M146" s="2" t="s">
        <v>75</v>
      </c>
      <c r="N146" t="s">
        <v>152</v>
      </c>
      <c r="O146" t="s">
        <v>116</v>
      </c>
      <c r="P146" s="2" t="s">
        <v>20</v>
      </c>
      <c r="Q146" t="s">
        <v>61</v>
      </c>
      <c r="R146" t="s">
        <v>61</v>
      </c>
      <c r="S146" s="79" t="s">
        <v>182</v>
      </c>
      <c r="T146" t="s">
        <v>183</v>
      </c>
      <c r="U146" t="s">
        <v>217</v>
      </c>
      <c r="V146" s="2" t="s">
        <v>185</v>
      </c>
      <c r="W146" s="2" t="s">
        <v>62</v>
      </c>
      <c r="Z146" s="2" t="s">
        <v>103</v>
      </c>
      <c r="AA146" s="2" t="s">
        <v>104</v>
      </c>
      <c r="AB146" s="2" t="s">
        <v>63</v>
      </c>
      <c r="AC146" s="2" t="s">
        <v>64</v>
      </c>
    </row>
    <row r="147" spans="1:29" x14ac:dyDescent="0.35">
      <c r="A147" t="s">
        <v>95</v>
      </c>
      <c r="B147" t="s">
        <v>83</v>
      </c>
      <c r="C147" t="s">
        <v>84</v>
      </c>
      <c r="D147" t="s">
        <v>14</v>
      </c>
      <c r="E147" t="s">
        <v>85</v>
      </c>
      <c r="F147" t="s">
        <v>85</v>
      </c>
      <c r="G147" s="2" t="s">
        <v>83</v>
      </c>
      <c r="H147">
        <f>VALUE(Tabla2[[#This Row],[CODIGO PDV]])</f>
        <v>421609</v>
      </c>
      <c r="I147" s="32" t="s">
        <v>148</v>
      </c>
      <c r="J147" s="2" t="s">
        <v>181</v>
      </c>
      <c r="K147" t="s">
        <v>96</v>
      </c>
      <c r="L147" t="s">
        <v>130</v>
      </c>
      <c r="M147" s="2" t="s">
        <v>75</v>
      </c>
      <c r="N147" t="s">
        <v>152</v>
      </c>
      <c r="O147" t="s">
        <v>117</v>
      </c>
      <c r="P147" s="2" t="s">
        <v>94</v>
      </c>
      <c r="Q147" t="s">
        <v>61</v>
      </c>
      <c r="R147" t="s">
        <v>61</v>
      </c>
      <c r="S147" s="79" t="s">
        <v>182</v>
      </c>
      <c r="T147" t="s">
        <v>183</v>
      </c>
      <c r="U147" t="s">
        <v>218</v>
      </c>
      <c r="V147" s="2" t="s">
        <v>185</v>
      </c>
      <c r="W147" s="2" t="s">
        <v>62</v>
      </c>
      <c r="Z147" s="2" t="s">
        <v>103</v>
      </c>
      <c r="AA147" s="2" t="s">
        <v>104</v>
      </c>
      <c r="AB147" s="2" t="s">
        <v>63</v>
      </c>
      <c r="AC147" s="2" t="s">
        <v>64</v>
      </c>
    </row>
  </sheetData>
  <phoneticPr fontId="3" type="noConversion"/>
  <conditionalFormatting sqref="O1:O1048576">
    <cfRule type="duplicateValues" dxfId="327" priority="82"/>
  </conditionalFormatting>
  <conditionalFormatting sqref="O2:O147">
    <cfRule type="duplicateValues" dxfId="326" priority="198"/>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K42"/>
  <sheetViews>
    <sheetView showGridLines="0" zoomScale="70" zoomScaleNormal="70" workbookViewId="0">
      <selection activeCell="A15" sqref="A15"/>
    </sheetView>
  </sheetViews>
  <sheetFormatPr baseColWidth="10" defaultColWidth="11.453125" defaultRowHeight="15" customHeight="1" x14ac:dyDescent="0.35"/>
  <cols>
    <col min="1" max="1" width="24" style="62" bestFit="1" customWidth="1"/>
    <col min="2" max="2" width="27.1796875" style="62" bestFit="1" customWidth="1"/>
    <col min="3" max="3" width="20.1796875" style="62" bestFit="1" customWidth="1"/>
    <col min="4" max="4" width="24" customWidth="1"/>
    <col min="5" max="5" width="14.81640625" bestFit="1" customWidth="1"/>
    <col min="6" max="6" width="13.1796875" customWidth="1"/>
    <col min="7" max="7" width="84" customWidth="1"/>
    <col min="8" max="8" width="41" customWidth="1"/>
    <col min="10" max="10" width="47.7265625" bestFit="1" customWidth="1"/>
    <col min="11" max="11" width="22" bestFit="1" customWidth="1"/>
  </cols>
  <sheetData>
    <row r="1" spans="1:11" ht="15" customHeight="1" x14ac:dyDescent="0.35">
      <c r="A1" s="25" t="s">
        <v>41</v>
      </c>
      <c r="B1" s="25" t="s">
        <v>14</v>
      </c>
      <c r="C1" s="25" t="s">
        <v>15</v>
      </c>
      <c r="D1" s="24" t="s">
        <v>13</v>
      </c>
      <c r="E1" s="43" t="s">
        <v>67</v>
      </c>
      <c r="F1" s="37" t="s">
        <v>68</v>
      </c>
      <c r="G1" s="37" t="s">
        <v>27</v>
      </c>
      <c r="H1" s="38" t="s">
        <v>33</v>
      </c>
      <c r="J1" s="28" t="s">
        <v>13</v>
      </c>
      <c r="K1" s="30" t="s">
        <v>71</v>
      </c>
    </row>
    <row r="2" spans="1:11" ht="15" customHeight="1" x14ac:dyDescent="0.35">
      <c r="A2" s="44">
        <v>0</v>
      </c>
      <c r="B2" s="44">
        <v>0</v>
      </c>
      <c r="C2" s="44">
        <v>0</v>
      </c>
      <c r="D2" s="26" t="s">
        <v>65</v>
      </c>
      <c r="E2" s="44">
        <v>0</v>
      </c>
      <c r="F2" s="20" t="s">
        <v>69</v>
      </c>
      <c r="G2" s="20" t="s">
        <v>109</v>
      </c>
      <c r="H2" s="20"/>
      <c r="J2" s="26" t="s">
        <v>17</v>
      </c>
      <c r="K2" s="67">
        <v>0.2</v>
      </c>
    </row>
    <row r="3" spans="1:11" ht="15" customHeight="1" x14ac:dyDescent="0.35">
      <c r="A3" s="44">
        <v>20</v>
      </c>
      <c r="B3" s="44">
        <v>20</v>
      </c>
      <c r="C3" s="44">
        <v>20</v>
      </c>
      <c r="D3" s="26" t="s">
        <v>17</v>
      </c>
      <c r="E3" s="44">
        <v>20</v>
      </c>
      <c r="F3" s="20" t="s">
        <v>69</v>
      </c>
      <c r="G3" s="20" t="s">
        <v>86</v>
      </c>
      <c r="H3" s="20" t="s">
        <v>20</v>
      </c>
      <c r="J3" s="26" t="s">
        <v>105</v>
      </c>
      <c r="K3" s="67">
        <v>0.15</v>
      </c>
    </row>
    <row r="4" spans="1:11" ht="15" customHeight="1" x14ac:dyDescent="0.35">
      <c r="A4" s="44">
        <f t="shared" ref="A4:C13" si="0">15/10</f>
        <v>1.5</v>
      </c>
      <c r="B4" s="44">
        <f t="shared" si="0"/>
        <v>1.5</v>
      </c>
      <c r="C4" s="44">
        <f t="shared" si="0"/>
        <v>1.5</v>
      </c>
      <c r="D4" s="26" t="s">
        <v>105</v>
      </c>
      <c r="E4" s="44">
        <f>15/10</f>
        <v>1.5</v>
      </c>
      <c r="F4" s="20" t="s">
        <v>69</v>
      </c>
      <c r="G4" s="20" t="s">
        <v>87</v>
      </c>
      <c r="H4" s="20" t="s">
        <v>20</v>
      </c>
      <c r="J4" s="26" t="s">
        <v>106</v>
      </c>
      <c r="K4" s="67">
        <v>0.2</v>
      </c>
    </row>
    <row r="5" spans="1:11" ht="15" customHeight="1" x14ac:dyDescent="0.35">
      <c r="A5" s="44">
        <f t="shared" si="0"/>
        <v>1.5</v>
      </c>
      <c r="B5" s="44">
        <f t="shared" si="0"/>
        <v>1.5</v>
      </c>
      <c r="C5" s="44">
        <f t="shared" si="0"/>
        <v>1.5</v>
      </c>
      <c r="D5" s="26" t="s">
        <v>105</v>
      </c>
      <c r="E5" s="44">
        <f t="shared" ref="E5:E13" si="1">15/10</f>
        <v>1.5</v>
      </c>
      <c r="F5" s="20" t="s">
        <v>69</v>
      </c>
      <c r="G5" s="20" t="s">
        <v>110</v>
      </c>
      <c r="H5" s="20" t="s">
        <v>20</v>
      </c>
      <c r="J5" s="26" t="s">
        <v>107</v>
      </c>
      <c r="K5" s="67">
        <v>0.3</v>
      </c>
    </row>
    <row r="6" spans="1:11" ht="15" customHeight="1" x14ac:dyDescent="0.35">
      <c r="A6" s="44">
        <f t="shared" si="0"/>
        <v>1.5</v>
      </c>
      <c r="B6" s="44">
        <f t="shared" si="0"/>
        <v>1.5</v>
      </c>
      <c r="C6" s="44">
        <f t="shared" si="0"/>
        <v>1.5</v>
      </c>
      <c r="D6" s="26" t="s">
        <v>105</v>
      </c>
      <c r="E6" s="44">
        <f t="shared" si="1"/>
        <v>1.5</v>
      </c>
      <c r="F6" s="20" t="s">
        <v>69</v>
      </c>
      <c r="G6" s="20" t="s">
        <v>35</v>
      </c>
      <c r="H6" s="20" t="s">
        <v>20</v>
      </c>
      <c r="J6" s="26" t="s">
        <v>108</v>
      </c>
      <c r="K6" s="67">
        <v>0.15</v>
      </c>
    </row>
    <row r="7" spans="1:11" ht="15" customHeight="1" x14ac:dyDescent="0.35">
      <c r="A7" s="44">
        <f t="shared" si="0"/>
        <v>1.5</v>
      </c>
      <c r="B7" s="44">
        <f t="shared" si="0"/>
        <v>1.5</v>
      </c>
      <c r="C7" s="44">
        <f t="shared" si="0"/>
        <v>1.5</v>
      </c>
      <c r="D7" s="26" t="s">
        <v>105</v>
      </c>
      <c r="E7" s="44">
        <f t="shared" si="1"/>
        <v>1.5</v>
      </c>
      <c r="F7" s="20" t="s">
        <v>69</v>
      </c>
      <c r="G7" s="20" t="s">
        <v>111</v>
      </c>
      <c r="H7" s="20" t="s">
        <v>94</v>
      </c>
      <c r="J7" s="29" t="s">
        <v>70</v>
      </c>
      <c r="K7" s="31">
        <f>SUM(K2:K6)</f>
        <v>1</v>
      </c>
    </row>
    <row r="8" spans="1:11" ht="15" customHeight="1" x14ac:dyDescent="0.35">
      <c r="A8" s="44">
        <f t="shared" si="0"/>
        <v>1.5</v>
      </c>
      <c r="B8" s="44">
        <f t="shared" si="0"/>
        <v>1.5</v>
      </c>
      <c r="C8" s="44">
        <f t="shared" si="0"/>
        <v>1.5</v>
      </c>
      <c r="D8" s="26" t="s">
        <v>105</v>
      </c>
      <c r="E8" s="44">
        <f t="shared" si="1"/>
        <v>1.5</v>
      </c>
      <c r="F8" s="20" t="s">
        <v>69</v>
      </c>
      <c r="G8" s="20" t="s">
        <v>88</v>
      </c>
      <c r="H8" s="20" t="s">
        <v>20</v>
      </c>
    </row>
    <row r="9" spans="1:11" ht="15" customHeight="1" x14ac:dyDescent="0.35">
      <c r="A9" s="44">
        <f t="shared" si="0"/>
        <v>1.5</v>
      </c>
      <c r="B9" s="44">
        <f t="shared" si="0"/>
        <v>1.5</v>
      </c>
      <c r="C9" s="44">
        <f t="shared" si="0"/>
        <v>1.5</v>
      </c>
      <c r="D9" s="26" t="s">
        <v>105</v>
      </c>
      <c r="E9" s="44">
        <f t="shared" si="1"/>
        <v>1.5</v>
      </c>
      <c r="F9" s="20" t="s">
        <v>69</v>
      </c>
      <c r="G9" s="20" t="s">
        <v>89</v>
      </c>
      <c r="H9" s="20" t="s">
        <v>20</v>
      </c>
    </row>
    <row r="10" spans="1:11" ht="15" customHeight="1" x14ac:dyDescent="0.35">
      <c r="A10" s="44">
        <f t="shared" si="0"/>
        <v>1.5</v>
      </c>
      <c r="B10" s="44">
        <f t="shared" si="0"/>
        <v>1.5</v>
      </c>
      <c r="C10" s="44">
        <f t="shared" si="0"/>
        <v>1.5</v>
      </c>
      <c r="D10" s="26" t="s">
        <v>105</v>
      </c>
      <c r="E10" s="44">
        <f t="shared" si="1"/>
        <v>1.5</v>
      </c>
      <c r="F10" s="20" t="s">
        <v>69</v>
      </c>
      <c r="G10" s="20" t="s">
        <v>90</v>
      </c>
      <c r="H10" s="20" t="s">
        <v>94</v>
      </c>
    </row>
    <row r="11" spans="1:11" ht="15" customHeight="1" x14ac:dyDescent="0.35">
      <c r="A11" s="44">
        <f t="shared" si="0"/>
        <v>1.5</v>
      </c>
      <c r="B11" s="44">
        <f t="shared" si="0"/>
        <v>1.5</v>
      </c>
      <c r="C11" s="44">
        <f t="shared" si="0"/>
        <v>1.5</v>
      </c>
      <c r="D11" s="26" t="s">
        <v>105</v>
      </c>
      <c r="E11" s="44">
        <f t="shared" si="1"/>
        <v>1.5</v>
      </c>
      <c r="F11" s="20" t="s">
        <v>69</v>
      </c>
      <c r="G11" s="20" t="s">
        <v>91</v>
      </c>
      <c r="H11" s="20" t="s">
        <v>94</v>
      </c>
    </row>
    <row r="12" spans="1:11" ht="15" customHeight="1" x14ac:dyDescent="0.35">
      <c r="A12" s="44">
        <f t="shared" si="0"/>
        <v>1.5</v>
      </c>
      <c r="B12" s="44">
        <f t="shared" si="0"/>
        <v>1.5</v>
      </c>
      <c r="C12" s="44">
        <f t="shared" si="0"/>
        <v>1.5</v>
      </c>
      <c r="D12" s="26" t="s">
        <v>105</v>
      </c>
      <c r="E12" s="44">
        <f t="shared" si="1"/>
        <v>1.5</v>
      </c>
      <c r="F12" s="20" t="s">
        <v>69</v>
      </c>
      <c r="G12" s="20" t="s">
        <v>92</v>
      </c>
      <c r="H12" s="20" t="s">
        <v>94</v>
      </c>
    </row>
    <row r="13" spans="1:11" ht="15" customHeight="1" x14ac:dyDescent="0.35">
      <c r="A13" s="44">
        <f t="shared" si="0"/>
        <v>1.5</v>
      </c>
      <c r="B13" s="44">
        <f t="shared" si="0"/>
        <v>1.5</v>
      </c>
      <c r="C13" s="44">
        <f t="shared" si="0"/>
        <v>1.5</v>
      </c>
      <c r="D13" s="26" t="s">
        <v>105</v>
      </c>
      <c r="E13" s="44">
        <f t="shared" si="1"/>
        <v>1.5</v>
      </c>
      <c r="F13" s="20" t="s">
        <v>69</v>
      </c>
      <c r="G13" s="20" t="s">
        <v>93</v>
      </c>
      <c r="H13" s="20" t="s">
        <v>94</v>
      </c>
    </row>
    <row r="14" spans="1:11" ht="15" customHeight="1" x14ac:dyDescent="0.35">
      <c r="A14" s="44">
        <v>20</v>
      </c>
      <c r="B14" s="44">
        <v>20</v>
      </c>
      <c r="C14" s="44">
        <v>20</v>
      </c>
      <c r="D14" s="26" t="s">
        <v>106</v>
      </c>
      <c r="E14" s="44">
        <v>20</v>
      </c>
      <c r="F14" s="20" t="s">
        <v>69</v>
      </c>
      <c r="G14" s="20" t="s">
        <v>129</v>
      </c>
      <c r="H14" s="20" t="s">
        <v>20</v>
      </c>
    </row>
    <row r="15" spans="1:11" ht="15" customHeight="1" x14ac:dyDescent="0.35">
      <c r="A15" s="44">
        <v>6</v>
      </c>
      <c r="B15" s="44">
        <v>6</v>
      </c>
      <c r="C15" s="44">
        <f t="shared" ref="C15:C22" si="2">30/20</f>
        <v>1.5</v>
      </c>
      <c r="D15" s="26" t="s">
        <v>107</v>
      </c>
      <c r="E15" s="44">
        <f>30/20</f>
        <v>1.5</v>
      </c>
      <c r="F15" s="20" t="s">
        <v>69</v>
      </c>
      <c r="G15" s="20" t="s">
        <v>121</v>
      </c>
      <c r="H15" s="20" t="s">
        <v>20</v>
      </c>
    </row>
    <row r="16" spans="1:11" ht="15" customHeight="1" x14ac:dyDescent="0.35">
      <c r="A16" s="44">
        <v>6</v>
      </c>
      <c r="B16" s="44">
        <v>6</v>
      </c>
      <c r="C16" s="44">
        <f t="shared" si="2"/>
        <v>1.5</v>
      </c>
      <c r="D16" s="26" t="s">
        <v>107</v>
      </c>
      <c r="E16" s="44">
        <f t="shared" ref="E16:E22" si="3">30/20</f>
        <v>1.5</v>
      </c>
      <c r="F16" s="20" t="s">
        <v>69</v>
      </c>
      <c r="G16" s="45" t="s">
        <v>131</v>
      </c>
      <c r="H16" s="20" t="s">
        <v>20</v>
      </c>
    </row>
    <row r="17" spans="1:8" ht="15" customHeight="1" x14ac:dyDescent="0.35">
      <c r="A17" s="44">
        <v>0</v>
      </c>
      <c r="B17" s="44">
        <v>0</v>
      </c>
      <c r="C17" s="44">
        <f t="shared" si="2"/>
        <v>1.5</v>
      </c>
      <c r="D17" s="26" t="s">
        <v>107</v>
      </c>
      <c r="E17" s="44">
        <f t="shared" si="3"/>
        <v>1.5</v>
      </c>
      <c r="F17" s="20" t="s">
        <v>69</v>
      </c>
      <c r="G17" s="45" t="s">
        <v>132</v>
      </c>
      <c r="H17" s="20" t="s">
        <v>20</v>
      </c>
    </row>
    <row r="18" spans="1:8" ht="15" customHeight="1" x14ac:dyDescent="0.35">
      <c r="A18" s="44">
        <v>0</v>
      </c>
      <c r="B18" s="44">
        <v>0</v>
      </c>
      <c r="C18" s="44">
        <f t="shared" si="2"/>
        <v>1.5</v>
      </c>
      <c r="D18" s="26" t="s">
        <v>107</v>
      </c>
      <c r="E18" s="44">
        <f t="shared" si="3"/>
        <v>1.5</v>
      </c>
      <c r="F18" s="20" t="s">
        <v>69</v>
      </c>
      <c r="G18" s="45" t="s">
        <v>133</v>
      </c>
      <c r="H18" s="20" t="s">
        <v>20</v>
      </c>
    </row>
    <row r="19" spans="1:8" ht="15" customHeight="1" x14ac:dyDescent="0.35">
      <c r="A19" s="44">
        <v>0</v>
      </c>
      <c r="B19" s="44">
        <v>0</v>
      </c>
      <c r="C19" s="44">
        <f t="shared" si="2"/>
        <v>1.5</v>
      </c>
      <c r="D19" s="26" t="s">
        <v>107</v>
      </c>
      <c r="E19" s="44">
        <f t="shared" si="3"/>
        <v>1.5</v>
      </c>
      <c r="F19" s="20" t="s">
        <v>69</v>
      </c>
      <c r="G19" s="20" t="s">
        <v>134</v>
      </c>
      <c r="H19" s="20" t="s">
        <v>20</v>
      </c>
    </row>
    <row r="20" spans="1:8" ht="15" customHeight="1" x14ac:dyDescent="0.35">
      <c r="A20" s="44">
        <v>0</v>
      </c>
      <c r="B20" s="44">
        <v>0</v>
      </c>
      <c r="C20" s="44">
        <f t="shared" si="2"/>
        <v>1.5</v>
      </c>
      <c r="D20" s="26" t="s">
        <v>107</v>
      </c>
      <c r="E20" s="44">
        <f t="shared" si="3"/>
        <v>1.5</v>
      </c>
      <c r="F20" s="20" t="s">
        <v>69</v>
      </c>
      <c r="G20" s="20" t="s">
        <v>144</v>
      </c>
      <c r="H20" s="20" t="s">
        <v>20</v>
      </c>
    </row>
    <row r="21" spans="1:8" ht="15" customHeight="1" x14ac:dyDescent="0.35">
      <c r="A21" s="44">
        <v>0</v>
      </c>
      <c r="B21" s="44">
        <v>0</v>
      </c>
      <c r="C21" s="44">
        <f t="shared" si="2"/>
        <v>1.5</v>
      </c>
      <c r="D21" s="26" t="s">
        <v>107</v>
      </c>
      <c r="E21" s="44">
        <f t="shared" si="3"/>
        <v>1.5</v>
      </c>
      <c r="F21" s="20" t="s">
        <v>69</v>
      </c>
      <c r="G21" s="20" t="s">
        <v>145</v>
      </c>
      <c r="H21" s="20" t="s">
        <v>20</v>
      </c>
    </row>
    <row r="22" spans="1:8" ht="15" customHeight="1" x14ac:dyDescent="0.35">
      <c r="A22" s="44">
        <v>0</v>
      </c>
      <c r="B22" s="44">
        <v>0</v>
      </c>
      <c r="C22" s="44">
        <f t="shared" si="2"/>
        <v>1.5</v>
      </c>
      <c r="D22" s="26" t="s">
        <v>107</v>
      </c>
      <c r="E22" s="44">
        <f t="shared" si="3"/>
        <v>1.5</v>
      </c>
      <c r="F22" s="20" t="s">
        <v>69</v>
      </c>
      <c r="G22" s="20" t="s">
        <v>135</v>
      </c>
      <c r="H22" s="20" t="s">
        <v>20</v>
      </c>
    </row>
    <row r="23" spans="1:8" ht="15" customHeight="1" x14ac:dyDescent="0.35">
      <c r="A23" s="44">
        <v>0</v>
      </c>
      <c r="B23" s="44">
        <v>0</v>
      </c>
      <c r="C23" s="44">
        <v>0</v>
      </c>
      <c r="D23" s="20" t="s">
        <v>65</v>
      </c>
      <c r="E23" s="44">
        <v>0</v>
      </c>
      <c r="F23" s="20" t="s">
        <v>69</v>
      </c>
      <c r="G23" s="20" t="s">
        <v>112</v>
      </c>
      <c r="H23" s="20"/>
    </row>
    <row r="24" spans="1:8" ht="15" customHeight="1" x14ac:dyDescent="0.35">
      <c r="A24" s="44">
        <v>0</v>
      </c>
      <c r="B24" s="44">
        <v>0</v>
      </c>
      <c r="C24" s="44">
        <f>18/3</f>
        <v>6</v>
      </c>
      <c r="D24" s="20" t="s">
        <v>107</v>
      </c>
      <c r="E24" s="44">
        <f t="shared" ref="E24:E35" si="4">30/20</f>
        <v>1.5</v>
      </c>
      <c r="F24" s="20" t="s">
        <v>69</v>
      </c>
      <c r="G24" s="20" t="s">
        <v>122</v>
      </c>
      <c r="H24" s="20" t="s">
        <v>20</v>
      </c>
    </row>
    <row r="25" spans="1:8" ht="15" customHeight="1" x14ac:dyDescent="0.35">
      <c r="A25" s="44">
        <v>0</v>
      </c>
      <c r="B25" s="44">
        <v>0</v>
      </c>
      <c r="C25" s="44">
        <f t="shared" ref="C25:C26" si="5">18/3</f>
        <v>6</v>
      </c>
      <c r="D25" s="20" t="s">
        <v>107</v>
      </c>
      <c r="E25" s="44">
        <f t="shared" si="4"/>
        <v>1.5</v>
      </c>
      <c r="F25" s="20" t="s">
        <v>69</v>
      </c>
      <c r="G25" s="20" t="s">
        <v>123</v>
      </c>
      <c r="H25" s="20" t="s">
        <v>20</v>
      </c>
    </row>
    <row r="26" spans="1:8" ht="15" customHeight="1" x14ac:dyDescent="0.35">
      <c r="A26" s="44">
        <v>0</v>
      </c>
      <c r="B26" s="44">
        <v>0</v>
      </c>
      <c r="C26" s="44">
        <f t="shared" si="5"/>
        <v>6</v>
      </c>
      <c r="D26" s="20" t="s">
        <v>107</v>
      </c>
      <c r="E26" s="44">
        <f t="shared" si="4"/>
        <v>1.5</v>
      </c>
      <c r="F26" s="20" t="s">
        <v>69</v>
      </c>
      <c r="G26" s="20" t="s">
        <v>124</v>
      </c>
      <c r="H26" s="20" t="s">
        <v>20</v>
      </c>
    </row>
    <row r="27" spans="1:8" ht="15" customHeight="1" x14ac:dyDescent="0.35">
      <c r="A27" s="44">
        <v>0</v>
      </c>
      <c r="B27" s="44">
        <f>18/6</f>
        <v>3</v>
      </c>
      <c r="C27" s="44">
        <v>0</v>
      </c>
      <c r="D27" s="20" t="s">
        <v>107</v>
      </c>
      <c r="E27" s="44">
        <f t="shared" si="4"/>
        <v>1.5</v>
      </c>
      <c r="F27" s="20" t="s">
        <v>69</v>
      </c>
      <c r="G27" s="20" t="s">
        <v>136</v>
      </c>
      <c r="H27" s="20" t="s">
        <v>20</v>
      </c>
    </row>
    <row r="28" spans="1:8" ht="15" customHeight="1" x14ac:dyDescent="0.35">
      <c r="A28" s="44">
        <v>0</v>
      </c>
      <c r="B28" s="44">
        <f t="shared" ref="B28:B32" si="6">18/6</f>
        <v>3</v>
      </c>
      <c r="C28" s="44">
        <v>0</v>
      </c>
      <c r="D28" s="20" t="s">
        <v>107</v>
      </c>
      <c r="E28" s="44">
        <f t="shared" si="4"/>
        <v>1.5</v>
      </c>
      <c r="F28" s="20" t="s">
        <v>69</v>
      </c>
      <c r="G28" s="20" t="s">
        <v>137</v>
      </c>
      <c r="H28" s="20" t="s">
        <v>20</v>
      </c>
    </row>
    <row r="29" spans="1:8" ht="15" customHeight="1" x14ac:dyDescent="0.35">
      <c r="A29" s="44">
        <v>0</v>
      </c>
      <c r="B29" s="44">
        <f t="shared" si="6"/>
        <v>3</v>
      </c>
      <c r="C29" s="44">
        <v>0</v>
      </c>
      <c r="D29" s="20" t="s">
        <v>107</v>
      </c>
      <c r="E29" s="44">
        <f t="shared" si="4"/>
        <v>1.5</v>
      </c>
      <c r="F29" s="20" t="s">
        <v>69</v>
      </c>
      <c r="G29" s="20" t="s">
        <v>138</v>
      </c>
      <c r="H29" s="20" t="s">
        <v>20</v>
      </c>
    </row>
    <row r="30" spans="1:8" ht="15" customHeight="1" x14ac:dyDescent="0.35">
      <c r="A30" s="44">
        <v>0</v>
      </c>
      <c r="B30" s="44">
        <f t="shared" si="6"/>
        <v>3</v>
      </c>
      <c r="C30" s="44">
        <v>0</v>
      </c>
      <c r="D30" s="20" t="s">
        <v>107</v>
      </c>
      <c r="E30" s="44">
        <f t="shared" si="4"/>
        <v>1.5</v>
      </c>
      <c r="F30" s="20" t="s">
        <v>69</v>
      </c>
      <c r="G30" s="20" t="s">
        <v>139</v>
      </c>
      <c r="H30" s="20" t="s">
        <v>20</v>
      </c>
    </row>
    <row r="31" spans="1:8" ht="15" customHeight="1" x14ac:dyDescent="0.35">
      <c r="A31" s="44">
        <v>0</v>
      </c>
      <c r="B31" s="44">
        <f t="shared" si="6"/>
        <v>3</v>
      </c>
      <c r="C31" s="44">
        <v>0</v>
      </c>
      <c r="D31" s="20" t="s">
        <v>107</v>
      </c>
      <c r="E31" s="44">
        <f t="shared" si="4"/>
        <v>1.5</v>
      </c>
      <c r="F31" s="20" t="s">
        <v>69</v>
      </c>
      <c r="G31" s="20" t="s">
        <v>140</v>
      </c>
      <c r="H31" s="20" t="s">
        <v>20</v>
      </c>
    </row>
    <row r="32" spans="1:8" ht="15" customHeight="1" x14ac:dyDescent="0.35">
      <c r="A32" s="44">
        <v>0</v>
      </c>
      <c r="B32" s="44">
        <f t="shared" si="6"/>
        <v>3</v>
      </c>
      <c r="C32" s="44">
        <v>0</v>
      </c>
      <c r="D32" s="20" t="s">
        <v>107</v>
      </c>
      <c r="E32" s="44">
        <f t="shared" si="4"/>
        <v>1.5</v>
      </c>
      <c r="F32" s="20" t="s">
        <v>69</v>
      </c>
      <c r="G32" s="20" t="s">
        <v>141</v>
      </c>
      <c r="H32" s="20" t="s">
        <v>20</v>
      </c>
    </row>
    <row r="33" spans="1:8" ht="15" customHeight="1" x14ac:dyDescent="0.35">
      <c r="A33" s="44">
        <f>18/3</f>
        <v>6</v>
      </c>
      <c r="B33" s="63">
        <v>0</v>
      </c>
      <c r="C33" s="63">
        <v>0</v>
      </c>
      <c r="D33" s="20" t="s">
        <v>107</v>
      </c>
      <c r="E33" s="44">
        <f t="shared" si="4"/>
        <v>1.5</v>
      </c>
      <c r="F33" s="20" t="s">
        <v>69</v>
      </c>
      <c r="G33" s="20" t="s">
        <v>125</v>
      </c>
      <c r="H33" s="20" t="s">
        <v>20</v>
      </c>
    </row>
    <row r="34" spans="1:8" ht="15" customHeight="1" x14ac:dyDescent="0.35">
      <c r="A34" s="44">
        <f t="shared" ref="A34:A35" si="7">18/3</f>
        <v>6</v>
      </c>
      <c r="B34" s="63">
        <v>0</v>
      </c>
      <c r="C34" s="63">
        <v>0</v>
      </c>
      <c r="D34" s="20" t="s">
        <v>107</v>
      </c>
      <c r="E34" s="44">
        <f t="shared" si="4"/>
        <v>1.5</v>
      </c>
      <c r="F34" s="20" t="s">
        <v>69</v>
      </c>
      <c r="G34" s="20" t="s">
        <v>126</v>
      </c>
      <c r="H34" s="20" t="s">
        <v>20</v>
      </c>
    </row>
    <row r="35" spans="1:8" ht="15" customHeight="1" x14ac:dyDescent="0.35">
      <c r="A35" s="44">
        <f t="shared" si="7"/>
        <v>6</v>
      </c>
      <c r="B35" s="44">
        <v>0</v>
      </c>
      <c r="C35" s="44">
        <v>0</v>
      </c>
      <c r="D35" s="20" t="s">
        <v>107</v>
      </c>
      <c r="E35" s="44">
        <f t="shared" si="4"/>
        <v>1.5</v>
      </c>
      <c r="F35" s="20" t="s">
        <v>69</v>
      </c>
      <c r="G35" s="20" t="s">
        <v>127</v>
      </c>
      <c r="H35" s="20" t="s">
        <v>20</v>
      </c>
    </row>
    <row r="36" spans="1:8" ht="15" customHeight="1" x14ac:dyDescent="0.35">
      <c r="A36" s="44">
        <v>0</v>
      </c>
      <c r="B36" s="44">
        <v>0</v>
      </c>
      <c r="C36" s="44">
        <v>0</v>
      </c>
      <c r="D36" s="20" t="s">
        <v>65</v>
      </c>
      <c r="E36" s="44">
        <v>0</v>
      </c>
      <c r="F36" s="20" t="s">
        <v>69</v>
      </c>
      <c r="G36" s="20" t="s">
        <v>113</v>
      </c>
      <c r="H36" s="20"/>
    </row>
    <row r="37" spans="1:8" ht="15" customHeight="1" x14ac:dyDescent="0.35">
      <c r="A37" s="44">
        <f t="shared" ref="A37:C40" si="8">15/4</f>
        <v>3.75</v>
      </c>
      <c r="B37" s="44">
        <f t="shared" si="8"/>
        <v>3.75</v>
      </c>
      <c r="C37" s="44">
        <f t="shared" si="8"/>
        <v>3.75</v>
      </c>
      <c r="D37" s="20" t="s">
        <v>108</v>
      </c>
      <c r="E37" s="44">
        <f>15/4</f>
        <v>3.75</v>
      </c>
      <c r="F37" s="20" t="s">
        <v>69</v>
      </c>
      <c r="G37" s="20" t="s">
        <v>114</v>
      </c>
      <c r="H37" s="20" t="s">
        <v>20</v>
      </c>
    </row>
    <row r="38" spans="1:8" ht="15" customHeight="1" x14ac:dyDescent="0.35">
      <c r="A38" s="44">
        <f t="shared" si="8"/>
        <v>3.75</v>
      </c>
      <c r="B38" s="44">
        <f t="shared" si="8"/>
        <v>3.75</v>
      </c>
      <c r="C38" s="44">
        <f t="shared" si="8"/>
        <v>3.75</v>
      </c>
      <c r="D38" s="20" t="s">
        <v>108</v>
      </c>
      <c r="E38" s="44">
        <f t="shared" ref="E38:E40" si="9">15/4</f>
        <v>3.75</v>
      </c>
      <c r="F38" s="20" t="s">
        <v>69</v>
      </c>
      <c r="G38" s="20" t="s">
        <v>128</v>
      </c>
      <c r="H38" s="20" t="s">
        <v>20</v>
      </c>
    </row>
    <row r="39" spans="1:8" ht="15" customHeight="1" x14ac:dyDescent="0.35">
      <c r="A39" s="44">
        <f t="shared" si="8"/>
        <v>3.75</v>
      </c>
      <c r="B39" s="44">
        <f t="shared" si="8"/>
        <v>3.75</v>
      </c>
      <c r="C39" s="44">
        <f t="shared" si="8"/>
        <v>3.75</v>
      </c>
      <c r="D39" s="20" t="s">
        <v>108</v>
      </c>
      <c r="E39" s="44">
        <f t="shared" si="9"/>
        <v>3.75</v>
      </c>
      <c r="F39" s="20" t="s">
        <v>69</v>
      </c>
      <c r="G39" s="20" t="s">
        <v>115</v>
      </c>
      <c r="H39" s="20" t="s">
        <v>20</v>
      </c>
    </row>
    <row r="40" spans="1:8" ht="15" customHeight="1" x14ac:dyDescent="0.35">
      <c r="A40" s="44">
        <f t="shared" si="8"/>
        <v>3.75</v>
      </c>
      <c r="B40" s="44">
        <f t="shared" si="8"/>
        <v>3.75</v>
      </c>
      <c r="C40" s="44">
        <f t="shared" si="8"/>
        <v>3.75</v>
      </c>
      <c r="D40" s="20" t="s">
        <v>108</v>
      </c>
      <c r="E40" s="44">
        <f t="shared" si="9"/>
        <v>3.75</v>
      </c>
      <c r="F40" s="20" t="s">
        <v>69</v>
      </c>
      <c r="G40" s="20" t="s">
        <v>116</v>
      </c>
      <c r="H40" s="20" t="s">
        <v>20</v>
      </c>
    </row>
    <row r="41" spans="1:8" ht="15" customHeight="1" x14ac:dyDescent="0.35">
      <c r="A41" s="63">
        <v>0</v>
      </c>
      <c r="B41" s="63">
        <v>0</v>
      </c>
      <c r="C41" s="63">
        <v>0</v>
      </c>
      <c r="D41" s="20" t="s">
        <v>65</v>
      </c>
      <c r="E41" s="63">
        <v>0</v>
      </c>
      <c r="F41" s="20" t="s">
        <v>69</v>
      </c>
      <c r="G41" s="20" t="s">
        <v>117</v>
      </c>
      <c r="H41" s="20"/>
    </row>
    <row r="42" spans="1:8" ht="15" customHeight="1" x14ac:dyDescent="0.35">
      <c r="A42" s="63">
        <v>0</v>
      </c>
      <c r="B42" s="63">
        <v>0</v>
      </c>
      <c r="C42" s="63">
        <v>0</v>
      </c>
      <c r="D42" s="20" t="s">
        <v>65</v>
      </c>
      <c r="E42" s="63">
        <v>0</v>
      </c>
      <c r="F42" s="20" t="s">
        <v>146</v>
      </c>
      <c r="G42" s="20" t="s">
        <v>118</v>
      </c>
      <c r="H42" s="20"/>
    </row>
  </sheetData>
  <autoFilter ref="A1:H42"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2.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3.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2026-03-06T16:16:22Z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